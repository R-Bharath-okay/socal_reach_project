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<sst xmlns="http://schemas.openxmlformats.org/spreadsheetml/2006/main" count="1911" uniqueCount="480">
  <si>
    <t xml:space="preserve">Date</t>
  </si>
  <si>
    <t xml:space="preserve">Platform</t>
  </si>
  <si>
    <t xml:space="preserve">Content Type</t>
  </si>
  <si>
    <t xml:space="preserve">Reach</t>
  </si>
  <si>
    <t xml:space="preserve">Impressions</t>
  </si>
  <si>
    <t xml:space="preserve">Likes</t>
  </si>
  <si>
    <t xml:space="preserve">Comments</t>
  </si>
  <si>
    <t xml:space="preserve">Shares</t>
  </si>
  <si>
    <t xml:space="preserve">New Followers</t>
  </si>
  <si>
    <t xml:space="preserve">Engagements</t>
  </si>
  <si>
    <t xml:space="preserve">Engagement Rate</t>
  </si>
  <si>
    <t xml:space="preserve">2024-07-01</t>
  </si>
  <si>
    <t xml:space="preserve">LinkedIn</t>
  </si>
  <si>
    <t xml:space="preserve">Image</t>
  </si>
  <si>
    <t xml:space="preserve">2024-07-02</t>
  </si>
  <si>
    <t xml:space="preserve">Instagram</t>
  </si>
  <si>
    <t xml:space="preserve">Reel/Short</t>
  </si>
  <si>
    <t xml:space="preserve">2024-07-03</t>
  </si>
  <si>
    <t xml:space="preserve">Video</t>
  </si>
  <si>
    <t xml:space="preserve">X</t>
  </si>
  <si>
    <t xml:space="preserve">Carousel</t>
  </si>
  <si>
    <t xml:space="preserve">2024-07-04</t>
  </si>
  <si>
    <t xml:space="preserve">Facebook</t>
  </si>
  <si>
    <t xml:space="preserve">Text</t>
  </si>
  <si>
    <t xml:space="preserve">2024-07-05</t>
  </si>
  <si>
    <t xml:space="preserve">2024-07-06</t>
  </si>
  <si>
    <t xml:space="preserve">TikTok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</si>
  <si>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</si>
  <si>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</si>
  <si>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</si>
  <si>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</si>
  <si>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</si>
  <si>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</si>
  <si>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2024-07-16</t>
  </si>
  <si>
    <t xml:space="preserve">2024-07-17</t>
  </si>
  <si>
    <t xml:space="preserve">2024-07-20</t>
  </si>
  <si>
    <t xml:space="preserve">2024-07-22</t>
  </si>
  <si>
    <t xml:space="preserve">2024-07-23</t>
  </si>
  <si>
    <t xml:space="preserve">2024-07-25</t>
  </si>
  <si>
    <t xml:space="preserve">2024-07-29</t>
  </si>
  <si>
    <t xml:space="preserve">2024-07-30</t>
  </si>
  <si>
    <t xml:space="preserve">2024-08-01</t>
  </si>
  <si>
    <t xml:space="preserve">2024-08-03</t>
  </si>
  <si>
    <t xml:space="preserve">2024-08-06</t>
  </si>
  <si>
    <t xml:space="preserve">2024-08-07</t>
  </si>
  <si>
    <t xml:space="preserve">2024-08-08</t>
  </si>
  <si>
    <t xml:space="preserve">2024-08-11</t>
  </si>
  <si>
    <t xml:space="preserve">2024-08-12</t>
  </si>
  <si>
    <t xml:space="preserve">2024-08-14</t>
  </si>
  <si>
    <t xml:space="preserve">2024-08-15</t>
  </si>
  <si>
    <t xml:space="preserve">2024-08-18</t>
  </si>
  <si>
    <t xml:space="preserve">2024-08-19</t>
  </si>
  <si>
    <t xml:space="preserve">2024-08-23</t>
  </si>
  <si>
    <t xml:space="preserve">2024-08-24</t>
  </si>
  <si>
    <t xml:space="preserve">2024-08-25</t>
  </si>
  <si>
    <t xml:space="preserve">2024-08-27</t>
  </si>
  <si>
    <t xml:space="preserve">2024-08-28</t>
  </si>
  <si>
    <t xml:space="preserve">2024-08-29</t>
  </si>
  <si>
    <t xml:space="preserve">2024-09-01</t>
  </si>
  <si>
    <t xml:space="preserve">2024-09-02</t>
  </si>
  <si>
    <t xml:space="preserve">2024-09-05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</si>
  <si>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</si>
  <si>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</si>
  <si>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</si>
  <si>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</si>
  <si>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</si>
  <si>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</si>
  <si>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2024-09-14</t>
  </si>
  <si>
    <t xml:space="preserve">2024-09-16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</si>
  <si>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</si>
  <si>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</si>
  <si>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</si>
  <si>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</si>
  <si>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</si>
  <si>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2024-09-25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</si>
  <si>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</si>
  <si>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</si>
  <si>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</si>
  <si>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</si>
  <si>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2024-10-02</t>
  </si>
  <si>
    <t xml:space="preserve">2024-10-03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</si>
  <si>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</si>
  <si>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</si>
  <si>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</si>
  <si>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</si>
  <si>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</si>
  <si>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2024-10-11</t>
  </si>
  <si>
    <t xml:space="preserve">2024-10-13</t>
  </si>
  <si>
    <t xml:space="preserve">2024-10-14</t>
  </si>
  <si>
    <t xml:space="preserve">2024-10-18</t>
  </si>
  <si>
    <t xml:space="preserve">2024-10-21</t>
  </si>
  <si>
    <t xml:space="preserve">2024-10-25</t>
  </si>
  <si>
    <t xml:space="preserve">2024-10-26</t>
  </si>
  <si>
    <t xml:space="preserve">2024-10-29</t>
  </si>
  <si>
    <t xml:space="preserve">2024-10-31</t>
  </si>
  <si>
    <t xml:space="preserve">2024-11-02</t>
  </si>
  <si>
    <t xml:space="preserve">2024-11-07</t>
  </si>
  <si>
    <t xml:space="preserve">2024-11-08</t>
  </si>
  <si>
    <t xml:space="preserve">2024-11-10</t>
  </si>
  <si>
    <t xml:space="preserve">2024-11-11</t>
  </si>
  <si>
    <t xml:space="preserve">2024-11-13</t>
  </si>
  <si>
    <t xml:space="preserve">2024-11-14</t>
  </si>
  <si>
    <t xml:space="preserve">2024-11-16</t>
  </si>
  <si>
    <t xml:space="preserve">2024-11-20</t>
  </si>
  <si>
    <t xml:space="preserve">2024-11-21</t>
  </si>
  <si>
    <t xml:space="preserve">2024-11-22</t>
  </si>
  <si>
    <t xml:space="preserve">2024-11-24</t>
  </si>
  <si>
    <t xml:space="preserve">2024-11-25</t>
  </si>
  <si>
    <t xml:space="preserve">2024-11-27</t>
  </si>
  <si>
    <t xml:space="preserve">2024-11-29</t>
  </si>
  <si>
    <t xml:space="preserve">2024-11-30</t>
  </si>
  <si>
    <t xml:space="preserve">2024-12-02</t>
  </si>
  <si>
    <t xml:space="preserve">2024-12-05</t>
  </si>
  <si>
    <t xml:space="preserve">2024-12-07</t>
  </si>
  <si>
    <t xml:space="preserve">2024-12-09</t>
  </si>
  <si>
    <t xml:space="preserve">2024-12-11</t>
  </si>
  <si>
    <t xml:space="preserve">2024-12-14</t>
  </si>
  <si>
    <t xml:space="preserve">2024-12-21</t>
  </si>
  <si>
    <t xml:space="preserve">2024-12-22</t>
  </si>
  <si>
    <t xml:space="preserve">2024-12-28</t>
  </si>
  <si>
    <t xml:space="preserve">2024-12-31</t>
  </si>
  <si>
    <t xml:space="preserve">2025-01-03</t>
  </si>
  <si>
    <t xml:space="preserve">2025-01-04</t>
  </si>
  <si>
    <t xml:space="preserve">2025-01-05</t>
  </si>
  <si>
    <t xml:space="preserve">2025-01-07</t>
  </si>
  <si>
    <t xml:space="preserve">2025-01-09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</si>
  <si>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</si>
  <si>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</si>
  <si>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</si>
  <si>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</si>
  <si>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</si>
  <si>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</si>
  <si>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</si>
  <si>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</si>
  <si>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</si>
  <si>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2025-01-22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</si>
  <si>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</si>
  <si>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</si>
  <si>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</si>
  <si>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</si>
  <si>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2025-01-31</t>
  </si>
  <si>
    <t xml:space="preserve">2025-02-01</t>
  </si>
  <si>
    <t xml:space="preserve">2025-02-03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</si>
  <si>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</si>
  <si>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</si>
  <si>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</si>
  <si>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</si>
  <si>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</si>
  <si>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2025-02-15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</si>
  <si>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</si>
  <si>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</si>
  <si>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</si>
  <si>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</si>
  <si>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</si>
  <si>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2025-02-23</t>
  </si>
  <si>
    <t xml:space="preserve">2025-02-24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</si>
  <si>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</si>
  <si>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</si>
  <si>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</si>
  <si>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</si>
  <si>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</si>
  <si>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</si>
  <si>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</si>
  <si>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</si>
  <si>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</si>
  <si>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</si>
  <si>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</si>
  <si>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2025-03-11</t>
  </si>
  <si>
    <t xml:space="preserve">2025-03-12</t>
  </si>
  <si>
    <t xml:space="preserve">2025-03-14</t>
  </si>
  <si>
    <t xml:space="preserve">2025-03-17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</si>
  <si>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</si>
  <si>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</si>
  <si>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</si>
  <si>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</si>
  <si>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2025-03-26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</si>
  <si>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</si>
  <si>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</si>
  <si>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</si>
  <si>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</si>
  <si>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</si>
  <si>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</si>
  <si>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</si>
  <si>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</si>
  <si>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</si>
  <si>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</si>
  <si>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</si>
  <si>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2025-04-13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</si>
  <si>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</si>
  <si>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</si>
  <si>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</si>
  <si>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</si>
  <si>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2025-04-29</t>
  </si>
  <si>
    <t xml:space="preserve">2025-04-30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</si>
  <si>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</si>
  <si>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</si>
  <si>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</si>
  <si>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</si>
  <si>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2025-05-07</t>
  </si>
  <si>
    <t xml:space="preserve">2025-05-12</t>
  </si>
  <si>
    <t xml:space="preserve">2025-05-13</t>
  </si>
  <si>
    <t xml:space="preserve">2025-05-15</t>
  </si>
  <si>
    <t xml:space="preserve">2025-05-17</t>
  </si>
  <si>
    <t xml:space="preserve">2025-05-18</t>
  </si>
  <si>
    <t xml:space="preserve">2025-05-21</t>
  </si>
  <si>
    <t xml:space="preserve">2025-05-24</t>
  </si>
  <si>
    <t xml:space="preserve">2025-05-26</t>
  </si>
  <si>
    <t xml:space="preserve">2025-05-27</t>
  </si>
  <si>
    <t xml:space="preserve">2025-05-28</t>
  </si>
  <si>
    <t xml:space="preserve">2025-05-30</t>
  </si>
  <si>
    <t xml:space="preserve">2025-05-31</t>
  </si>
  <si>
    <t xml:space="preserve">2025-06-01</t>
  </si>
  <si>
    <t xml:space="preserve">2025-06-03</t>
  </si>
  <si>
    <t xml:space="preserve">2025-06-04</t>
  </si>
  <si>
    <t xml:space="preserve">2025-06-05</t>
  </si>
  <si>
    <t xml:space="preserve">2025-06-09</t>
  </si>
  <si>
    <t xml:space="preserve">2025-06-12</t>
  </si>
  <si>
    <t xml:space="preserve">2025-06-13</t>
  </si>
  <si>
    <t xml:space="preserve">2025-06-14</t>
  </si>
  <si>
    <t xml:space="preserve">2025-06-16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</si>
  <si>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</si>
  <si>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</si>
  <si>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</si>
  <si>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</si>
  <si>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2025-06-24</t>
  </si>
  <si>
    <t xml:space="preserve">2025-06-25</t>
  </si>
  <si>
    <t xml:space="preserve">2025-06-26</t>
  </si>
  <si>
    <t xml:space="preserve">2025-06-28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</si>
  <si>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</si>
  <si>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</si>
  <si>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</si>
  <si>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</si>
  <si>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2025-07-05</t>
  </si>
  <si>
    <t xml:space="preserve">2025-07-07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</si>
  <si>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</si>
  <si>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</si>
  <si>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</si>
  <si>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</si>
  <si>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2025-07-14</t>
  </si>
  <si>
    <t xml:space="preserve">2025-07-16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</si>
  <si>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</si>
  <si>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</si>
  <si>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</si>
  <si>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</si>
  <si>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</si>
  <si>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2025-07-25</t>
  </si>
  <si>
    <t xml:space="preserve">2025-07-27</t>
  </si>
  <si>
    <t xml:space="preserve">2025-07-29</t>
  </si>
  <si>
    <t xml:space="preserve">2025-08-02</t>
  </si>
  <si>
    <t xml:space="preserve">2025-08-05</t>
  </si>
  <si>
    <t xml:space="preserve">2025-08-07</t>
  </si>
  <si>
    <t xml:space="preserve">2025-08-08</t>
  </si>
  <si>
    <t xml:space="preserve">2025-08-09</t>
  </si>
  <si>
    <t xml:space="preserve">2025-08-11</t>
  </si>
  <si>
    <t xml:space="preserve">2025-08-12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</si>
  <si>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</si>
  <si>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</si>
  <si>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</si>
  <si>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</si>
  <si>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</si>
  <si>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2025-08-21</t>
  </si>
  <si>
    <t xml:space="preserve">2025-08-23</t>
  </si>
  <si>
    <t xml:space="preserve">2025-08-24</t>
  </si>
  <si>
    <t xml:space="preserve">2025-08-25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</si>
  <si>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</si>
  <si>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</si>
  <si>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</si>
  <si>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</si>
  <si>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2025-09-05</t>
  </si>
  <si>
    <t xml:space="preserve">2025-09-07</t>
  </si>
  <si>
    <t xml:space="preserve">2025-09-10</t>
  </si>
  <si>
    <t xml:space="preserve">2025-09-13</t>
  </si>
  <si>
    <t xml:space="preserve">2025-09-14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</si>
  <si>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</si>
  <si>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</si>
  <si>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</si>
  <si>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</si>
  <si>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2025-09-21</t>
  </si>
  <si>
    <t xml:space="preserve">2025-09-22</t>
  </si>
  <si>
    <t xml:space="preserve">2025-09-24</t>
  </si>
  <si>
    <t xml:space="preserve">2025-09-26</t>
  </si>
  <si>
    <t xml:space="preserve">2025-09-27</t>
  </si>
  <si>
    <t xml:space="preserve">2025-09-28</t>
  </si>
  <si>
    <t xml:space="preserve">2025-10-03</t>
  </si>
  <si>
    <t xml:space="preserve">2025-10-07</t>
  </si>
  <si>
    <t xml:space="preserve">2025-10-08</t>
  </si>
  <si>
    <t xml:space="preserve">2025-10-10</t>
  </si>
  <si>
    <t xml:space="preserve">2025-10-11</t>
  </si>
  <si>
    <t xml:space="preserve">2025-10-12</t>
  </si>
  <si>
    <t xml:space="preserve">2025-10-15</t>
  </si>
  <si>
    <t xml:space="preserve">2025-10-17</t>
  </si>
  <si>
    <t xml:space="preserve">2025-10-19</t>
  </si>
  <si>
    <t xml:space="preserve">2025-10-20</t>
  </si>
  <si>
    <t xml:space="preserve">2025-10-22</t>
  </si>
  <si>
    <t xml:space="preserve">2025-10-24</t>
  </si>
  <si>
    <t xml:space="preserve">2025-10-25</t>
  </si>
  <si>
    <t xml:space="preserve">2025-10-27</t>
  </si>
  <si>
    <t xml:space="preserve">2025-10-28</t>
  </si>
  <si>
    <t xml:space="preserve">2025-10-31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</si>
  <si>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</si>
  <si>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</si>
  <si>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</si>
  <si>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</si>
  <si>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</si>
  <si>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</si>
  <si>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</si>
  <si>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</si>
  <si>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</si>
  <si>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2025-11-11</t>
  </si>
  <si>
    <t xml:space="preserve">2025-11-12</t>
  </si>
  <si>
    <t xml:space="preserve">2025-11-14</t>
  </si>
  <si>
    <t xml:space="preserve">2025-11-15</t>
  </si>
  <si>
    <t xml:space="preserve">2025-11-17</t>
  </si>
  <si>
    <t xml:space="preserve">2025-11-19</t>
  </si>
  <si>
    <t xml:space="preserve">2025-11-20</t>
  </si>
  <si>
    <t xml:space="preserve">2025-11-23</t>
  </si>
  <si>
    <t xml:space="preserve">2025-11-24</t>
  </si>
  <si>
    <t xml:space="preserve">2025-11-26</t>
  </si>
  <si>
    <t xml:space="preserve">2025-11-27</t>
  </si>
  <si>
    <t xml:space="preserve">2025-11-28</t>
  </si>
  <si>
    <t xml:space="preserve">2025-11-30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</si>
  <si>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</si>
  <si>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</si>
  <si>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</si>
  <si>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</si>
  <si>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</si>
  <si>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</si>
  <si>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</si>
  <si>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</si>
  <si>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</si>
  <si>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2025-12-12</t>
  </si>
  <si>
    <t xml:space="preserve">2025-12-13</t>
  </si>
  <si>
    <t xml:space="preserve">2025-12-14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</si>
  <si>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</si>
  <si>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</si>
  <si>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</si>
  <si>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</si>
  <si>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</si>
  <si>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</si>
  <si>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2025-12-23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</si>
  <si>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</si>
  <si>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</si>
  <si>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</si>
  <si>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</si>
  <si>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</si>
  <si>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2026-01-05</t>
  </si>
  <si>
    <t xml:space="preserve">2026-01-10</t>
  </si>
  <si>
    <t xml:space="preserve">2026-01-11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</si>
  <si>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</si>
  <si>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</si>
  <si>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</si>
  <si>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</si>
  <si>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</si>
  <si>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</si>
  <si>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</si>
  <si>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</si>
  <si>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</si>
  <si>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</si>
  <si>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</si>
  <si>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2026-01-26</t>
  </si>
  <si>
    <t xml:space="preserve">2026-01-27</t>
  </si>
  <si>
    <t xml:space="preserve">2026-01-28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</si>
  <si>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</si>
  <si>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</si>
  <si>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</si>
  <si>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</si>
  <si>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2026-02-06</t>
  </si>
  <si>
    <t xml:space="preserve">2026-02-08</t>
  </si>
  <si>
    <t xml:space="preserve">2026-02-13</t>
  </si>
  <si>
    <t xml:space="preserve">2026-02-15</t>
  </si>
  <si>
    <t xml:space="preserve">2026-02-16</t>
  </si>
  <si>
    <t xml:space="preserve">2026-02-17</t>
  </si>
  <si>
    <t xml:space="preserve">2026-02-18</t>
  </si>
  <si>
    <t xml:space="preserve">2026-02-26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</si>
  <si>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</si>
  <si>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</si>
  <si>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</si>
  <si>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</si>
  <si>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2026-03-07</t>
  </si>
  <si>
    <t xml:space="preserve">2026-03-09</t>
  </si>
  <si>
    <t xml:space="preserve">2026-03-12</t>
  </si>
  <si>
    <t xml:space="preserve">2026-03-15</t>
  </si>
  <si>
    <t xml:space="preserve">2026-03-16</t>
  </si>
  <si>
    <t xml:space="preserve">2026-03-17</t>
  </si>
  <si>
    <t xml:space="preserve">2026-03-20</t>
  </si>
  <si>
    <t xml:space="preserve">2026-03-21</t>
  </si>
  <si>
    <t xml:space="preserve">2026-03-22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</si>
  <si>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</si>
  <si>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</si>
  <si>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</si>
  <si>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</si>
  <si>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</si>
  <si>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</si>
  <si>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2026-04-04</t>
  </si>
  <si>
    <t xml:space="preserve">2026-04-05</t>
  </si>
  <si>
    <t xml:space="preserve">2026-04-06</t>
  </si>
  <si>
    <t xml:space="preserve">2026-04-11</t>
  </si>
  <si>
    <t xml:space="preserve">2026-04-12</t>
  </si>
  <si>
    <t xml:space="preserve">2026-04-13</t>
  </si>
  <si>
    <t xml:space="preserve">2026-04-17</t>
  </si>
  <si>
    <t xml:space="preserve">2026-04-18</t>
  </si>
  <si>
    <t xml:space="preserve">2026-04-21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</si>
  <si>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</si>
  <si>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</si>
  <si>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</si>
  <si>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</si>
  <si>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</si>
  <si>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</si>
  <si>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2026-04-30</t>
  </si>
  <si>
    <t xml:space="preserve">2026-05-02</t>
  </si>
  <si>
    <t xml:space="preserve">2026-05-06</t>
  </si>
  <si>
    <t xml:space="preserve">2026-05-08</t>
  </si>
  <si>
    <t xml:space="preserve">2026-05-09</t>
  </si>
  <si>
    <t xml:space="preserve">2026-05-11</t>
  </si>
  <si>
    <t xml:space="preserve">2026-05-12</t>
  </si>
  <si>
    <t xml:space="preserve">2026-05-15</t>
  </si>
  <si>
    <t xml:space="preserve">2026-05-17</t>
  </si>
  <si>
    <t xml:space="preserve">2026-05-18</t>
  </si>
  <si>
    <t xml:space="preserve">2026-05-20</t>
  </si>
  <si>
    <t xml:space="preserve">2026-05-21</t>
  </si>
  <si>
    <t xml:space="preserve">2026-05-24</t>
  </si>
  <si>
    <t xml:space="preserve">2026-05-26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</si>
  <si>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</si>
  <si>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</si>
  <si>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</si>
  <si>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</si>
  <si>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</si>
  <si>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</si>
  <si>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</si>
  <si>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</si>
  <si>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</si>
  <si>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</si>
  <si>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</si>
  <si>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2026-06-14</t>
  </si>
  <si>
    <t xml:space="preserve">2026-06-16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</si>
  <si>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</si>
  <si>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</si>
  <si>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</si>
  <si>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</si>
  <si>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2026-06-25</t>
  </si>
  <si>
    <t xml:space="preserve">2026-06-26</t>
  </si>
  <si>
    <t xml:space="preserve">2026-06-29</t>
  </si>
  <si>
    <t xml:space="preserve">2026-06-30</t>
  </si>
  <si>
    <t xml:space="preserve">Social media reach summary</t>
  </si>
  <si>
    <t xml:space="preserve">Source: Posts sheet (synthetic sample data, generated for this project)</t>
  </si>
  <si>
    <t xml:space="preserve">Monthly reach</t>
  </si>
  <si>
    <t xml:space="preserve">Reach by platform</t>
  </si>
  <si>
    <t xml:space="preserve">Engagement by content type</t>
  </si>
  <si>
    <t xml:space="preserve">Month</t>
  </si>
  <si>
    <t xml:space="preserve">Avg Engagement Rate</t>
  </si>
  <si>
    <t xml:space="preserve">Content type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</si>
  <si>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</si>
  <si>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</si>
  <si>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</si>
  <si>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</si>
  <si>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</si>
  <si>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</si>
  <si>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</si>
  <si>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</si>
  <si>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</si>
  <si>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</si>
  <si>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</si>
  <si>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</si>
  <si>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</si>
  <si>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</si>
  <si>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</si>
  <si>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</si>
  <si>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</si>
  <si>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</si>
  <si>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</si>
  <si>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</si>
  <si>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</si>
  <si>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</si>
  <si>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</si>
  <si>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</si>
  <si>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Total reach</t>
  </si>
  <si>
    <t xml:space="preserve">Total engagements</t>
  </si>
  <si>
    <t xml:space="preserve">Overall engagement rate</t>
  </si>
  <si>
    <t xml:space="preserve">Total new followers</t>
  </si>
  <si>
    <t xml:space="preserve">Top platform by reach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</si>
</sst>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2FA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6B2FA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993366"/>
      <rgbColor rgb="FF6B2F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reach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Summary!B5</c:f>
              <c:strCache>
                <c:ptCount val="1"/>
                <c:pt idx="0">
                  <c:v>Reach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Summary!$A$6:$A$29</c:f>
              <c:strCache>
                <c:ptCount val="24"/>
                <c:pt idx="0">
                  <c:v>2024-07</c:v>
                </c:pt>
                <c:pt idx="1">
                  <c:v>2024-08</c:v>
                </c:pt>
                <c:pt idx="2">
                  <c:v>2024-09</c:v>
                </c:pt>
                <c:pt idx="3">
                  <c:v>2024-10</c:v>
                </c:pt>
                <c:pt idx="4">
                  <c:v>2024-11</c:v>
                </c:pt>
                <c:pt idx="5">
                  <c:v>2024-12</c:v>
                </c:pt>
                <c:pt idx="6">
                  <c:v>2025-01</c:v>
                </c:pt>
                <c:pt idx="7">
                  <c:v>2025-02</c:v>
                </c:pt>
                <c:pt idx="8">
                  <c:v>2025-03</c:v>
                </c:pt>
                <c:pt idx="9">
                  <c:v>2025-04</c:v>
                </c:pt>
                <c:pt idx="10">
                  <c:v>2025-05</c:v>
                </c:pt>
                <c:pt idx="11">
                  <c:v>2025-06</c:v>
                </c:pt>
                <c:pt idx="12">
                  <c:v>2025-07</c:v>
                </c:pt>
                <c:pt idx="13">
                  <c:v>2025-08</c:v>
                </c:pt>
                <c:pt idx="14">
                  <c:v>2025-09</c:v>
                </c:pt>
                <c:pt idx="15">
                  <c:v>2025-10</c:v>
                </c:pt>
                <c:pt idx="16">
                  <c:v>2025-11</c:v>
                </c:pt>
                <c:pt idx="17">
                  <c:v>2025-12</c:v>
                </c:pt>
                <c:pt idx="18">
                  <c:v>2026-01</c:v>
                </c:pt>
                <c:pt idx="19">
                  <c:v>2026-02</c:v>
                </c:pt>
                <c:pt idx="20">
                  <c:v>2026-03</c:v>
                </c:pt>
                <c:pt idx="21">
                  <c:v>2026-04</c:v>
                </c:pt>
                <c:pt idx="22">
                  <c:v>2026-05</c:v>
                </c:pt>
                <c:pt idx="23">
                  <c:v>2026-06</c:v>
                </c:pt>
              </c:strCache>
            </c:strRef>
          </c:cat>
          <c:val>
            <c:numRef>
              <c:f>Summary!$B$6:$B$29</c:f>
              <c:numCache>
                <c:formatCode>#,##0</c:formatCode>
                <c:ptCount val="24"/>
                <c:pt idx="0">
                  <c:v>95387</c:v>
                </c:pt>
                <c:pt idx="1">
                  <c:v>93017</c:v>
                </c:pt>
                <c:pt idx="2">
                  <c:v>113075</c:v>
                </c:pt>
                <c:pt idx="3">
                  <c:v>51323</c:v>
                </c:pt>
                <c:pt idx="4">
                  <c:v>112456</c:v>
                </c:pt>
                <c:pt idx="5">
                  <c:v>49759</c:v>
                </c:pt>
                <c:pt idx="6">
                  <c:v>102409</c:v>
                </c:pt>
                <c:pt idx="7">
                  <c:v>132213</c:v>
                </c:pt>
                <c:pt idx="8">
                  <c:v>88558</c:v>
                </c:pt>
                <c:pt idx="9">
                  <c:v>92809</c:v>
                </c:pt>
                <c:pt idx="10">
                  <c:v>92760</c:v>
                </c:pt>
                <c:pt idx="11">
                  <c:v>92390</c:v>
                </c:pt>
                <c:pt idx="12">
                  <c:v>126147</c:v>
                </c:pt>
                <c:pt idx="13">
                  <c:v>115114</c:v>
                </c:pt>
                <c:pt idx="14">
                  <c:v>123463</c:v>
                </c:pt>
                <c:pt idx="15">
                  <c:v>112318</c:v>
                </c:pt>
                <c:pt idx="16">
                  <c:v>185598</c:v>
                </c:pt>
                <c:pt idx="17">
                  <c:v>182469</c:v>
                </c:pt>
                <c:pt idx="18">
                  <c:v>104117</c:v>
                </c:pt>
                <c:pt idx="19">
                  <c:v>89958</c:v>
                </c:pt>
                <c:pt idx="20">
                  <c:v>154425</c:v>
                </c:pt>
                <c:pt idx="21">
                  <c:v>88600</c:v>
                </c:pt>
                <c:pt idx="22">
                  <c:v>136036</c:v>
                </c:pt>
                <c:pt idx="23">
                  <c:v>148400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782162"/>
        <c:axId val="51984138"/>
      </c:lineChart>
      <c:catAx>
        <c:axId val="577821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84138"/>
        <c:crosses val="autoZero"/>
        <c:auto val="1"/>
        <c:lblAlgn val="ctr"/>
        <c:lblOffset val="100"/>
        <c:noMultiLvlLbl val="0"/>
      </c:catAx>
      <c:valAx>
        <c:axId val="51984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82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Reach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Summary!F5</c:f>
              <c:strCache>
                <c:ptCount val="1"/>
                <c:pt idx="0">
                  <c:v>Reach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Summary!$E$6:$E$10</c:f>
              <c:strCache>
                <c:ptCount val="5"/>
                <c:pt idx="0">
                  <c:v>Instagram</c:v>
                </c:pt>
                <c:pt idx="1">
                  <c:v>Facebook</c:v>
                </c:pt>
                <c:pt idx="2">
                  <c:v>X</c:v>
                </c:pt>
                <c:pt idx="3">
                  <c:v>LinkedIn</c:v>
                </c:pt>
                <c:pt idx="4">
                  <c:v>TikTok</c:v>
                </c:pt>
              </c:strCache>
            </c:strRef>
          </c:cat>
          <c:val>
            <c:numRef>
              <c:f>Summary!$F$6:$F$10</c:f>
              <c:numCache>
                <c:formatCode>#,##0</c:formatCode>
                <c:ptCount val="5"/>
                <c:pt idx="0">
                  <c:v>1125902</c:v>
                </c:pt>
                <c:pt idx="1">
                  <c:v>370408</c:v>
                </c:pt>
                <c:pt idx="2">
                  <c:v>174805</c:v>
                </c:pt>
                <c:pt idx="3">
                  <c:v>189893</c:v>
                </c:pt>
                <c:pt idx="4">
                  <c:v>821793</c:v>
                </c:pt>
              </c:numCache>
            </c:numRef>
          </c:val>
        </c:ser>
        <c:gapWidth val="150"/>
        <c:overlap val="0"/>
        <c:axId val="38216640"/>
        <c:axId val="64423518"/>
      </c:barChart>
      <c:catAx>
        <c:axId val="3821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23518"/>
        <c:crosses val="autoZero"/>
        <c:auto val="1"/>
        <c:lblAlgn val="ctr"/>
        <c:lblOffset val="100"/>
        <c:noMultiLvlLbl val="0"/>
      </c:catAx>
      <c:valAx>
        <c:axId val="64423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166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share by content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Summary!J5</c:f>
              <c:strCache>
                <c:ptCount val="1"/>
                <c:pt idx="0">
                  <c:v>Engagements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Summary!$I$6:$I$10</c:f>
              <c:strCache>
                <c:ptCount val="5"/>
                <c:pt idx="0">
                  <c:v>Image</c:v>
                </c:pt>
                <c:pt idx="1">
                  <c:v>Video</c:v>
                </c:pt>
                <c:pt idx="2">
                  <c:v>Carousel</c:v>
                </c:pt>
                <c:pt idx="3">
                  <c:v>Text</c:v>
                </c:pt>
                <c:pt idx="4">
                  <c:v>Reel/Short</c:v>
                </c:pt>
              </c:strCache>
            </c:strRef>
          </c:cat>
          <c:val>
            <c:numRef>
              <c:f>Summary!$J$6:$J$10</c:f>
              <c:numCache>
                <c:formatCode>#,##0</c:formatCode>
                <c:ptCount val="5"/>
                <c:pt idx="0">
                  <c:v>28928</c:v>
                </c:pt>
                <c:pt idx="1">
                  <c:v>31993</c:v>
                </c:pt>
                <c:pt idx="2">
                  <c:v>31401</c:v>
                </c:pt>
                <c:pt idx="3">
                  <c:v>30920</c:v>
                </c:pt>
                <c:pt idx="4">
                  <c:v>24592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160560</xdr:rowOff>
    </xdr:from>
    <xdr:to>
      <xdr:col>6</xdr:col>
      <xdr:colOff>558720</xdr:colOff>
      <xdr:row>53</xdr:row>
      <xdr:rowOff>161640</xdr:rowOff>
    </xdr:to>
    <xdr:graphicFrame>
      <xdr:nvGraphicFramePr>
        <xdr:cNvPr id="0" name="Chart 1"/>
        <xdr:cNvGraphicFramePr/>
      </xdr:nvGraphicFramePr>
      <xdr:xfrm>
        <a:off x="0" y="7048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36</xdr:row>
      <xdr:rowOff>160560</xdr:rowOff>
    </xdr:from>
    <xdr:to>
      <xdr:col>17</xdr:col>
      <xdr:colOff>39240</xdr:colOff>
      <xdr:row>53</xdr:row>
      <xdr:rowOff>161640</xdr:rowOff>
    </xdr:to>
    <xdr:graphicFrame>
      <xdr:nvGraphicFramePr>
        <xdr:cNvPr id="1" name="Chart 2"/>
        <xdr:cNvGraphicFramePr/>
      </xdr:nvGraphicFramePr>
      <xdr:xfrm>
        <a:off x="9867960" y="70484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36</xdr:row>
      <xdr:rowOff>160560</xdr:rowOff>
    </xdr:from>
    <xdr:to>
      <xdr:col>25</xdr:col>
      <xdr:colOff>39240</xdr:colOff>
      <xdr:row>59</xdr:row>
      <xdr:rowOff>98640</xdr:rowOff>
    </xdr:to>
    <xdr:graphicFrame>
      <xdr:nvGraphicFramePr>
        <xdr:cNvPr id="2" name="Chart 3"/>
        <xdr:cNvGraphicFramePr/>
      </xdr:nvGraphicFramePr>
      <xdr:xfrm>
        <a:off x="14760000" y="7048440"/>
        <a:ext cx="43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osts" displayName="Posts" ref="A1:K617" headerRowCount="1" totalsRowCount="0" totalsRowShown="0">
  <autoFilter ref="A1:K617"/>
  <tableColumns count="11">
    <tableColumn id="1" name="Date"/>
    <tableColumn id="2" name="Platform"/>
    <tableColumn id="3" name="Content Type"/>
    <tableColumn id="4" name="Reach"/>
    <tableColumn id="5" name="Impressions"/>
    <tableColumn id="6" name="Likes"/>
    <tableColumn id="7" name="Comments"/>
    <tableColumn id="8" name="Shares"/>
    <tableColumn id="9" name="New Followers"/>
    <tableColumn id="10" name="Engagements"/>
    <tableColumn id="11" name="Engagement R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0" min="9" style="0" width="12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n">
        <v>1601</v>
      </c>
      <c r="E2" s="2" t="n">
        <v>2261</v>
      </c>
      <c r="F2" s="2" t="n">
        <v>85</v>
      </c>
      <c r="G2" s="2" t="n">
        <v>8</v>
      </c>
      <c r="H2" s="2" t="n">
        <v>41</v>
      </c>
      <c r="I2" s="2" t="n">
        <v>6</v>
      </c>
      <c r="J2" s="2" t="n">
        <f aca="false">F2+G2+H2</f>
        <v>134</v>
      </c>
      <c r="K2" s="3" t="n">
        <f aca="false">J2/D2</f>
        <v>0.0836976889444097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n">
        <v>3611</v>
      </c>
      <c r="E3" s="2" t="n">
        <v>4354</v>
      </c>
      <c r="F3" s="2" t="n">
        <v>90</v>
      </c>
      <c r="G3" s="2" t="n">
        <v>19</v>
      </c>
      <c r="H3" s="2" t="n">
        <v>20</v>
      </c>
      <c r="I3" s="2" t="n">
        <v>7</v>
      </c>
      <c r="J3" s="2" t="n">
        <f aca="false">F3+G3+H3</f>
        <v>129</v>
      </c>
      <c r="K3" s="3" t="n">
        <f aca="false">J3/D3</f>
        <v>0.0357241761284963</v>
      </c>
    </row>
    <row r="4" customFormat="false" ht="15" hidden="false" customHeight="false" outlineLevel="0" collapsed="false">
      <c r="A4" s="2" t="s">
        <v>17</v>
      </c>
      <c r="B4" s="2" t="s">
        <v>15</v>
      </c>
      <c r="C4" s="2" t="s">
        <v>18</v>
      </c>
      <c r="D4" s="2" t="n">
        <v>3998</v>
      </c>
      <c r="E4" s="2" t="n">
        <v>4810</v>
      </c>
      <c r="F4" s="2" t="n">
        <v>120</v>
      </c>
      <c r="G4" s="2" t="n">
        <v>11</v>
      </c>
      <c r="H4" s="2" t="n">
        <v>35</v>
      </c>
      <c r="I4" s="2" t="n">
        <v>9</v>
      </c>
      <c r="J4" s="2" t="n">
        <f aca="false">F4+G4+H4</f>
        <v>166</v>
      </c>
      <c r="K4" s="3" t="n">
        <f aca="false">J4/D4</f>
        <v>0.0415207603801901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20</v>
      </c>
      <c r="D5" s="2" t="n">
        <v>2141</v>
      </c>
      <c r="E5" s="2" t="n">
        <v>2556</v>
      </c>
      <c r="F5" s="2" t="n">
        <v>103</v>
      </c>
      <c r="G5" s="2" t="n">
        <v>17</v>
      </c>
      <c r="H5" s="2" t="n">
        <v>30</v>
      </c>
      <c r="I5" s="2" t="n">
        <v>7</v>
      </c>
      <c r="J5" s="2" t="n">
        <f aca="false">F5+G5+H5</f>
        <v>150</v>
      </c>
      <c r="K5" s="3" t="n">
        <f aca="false">J5/D5</f>
        <v>0.0700607192900514</v>
      </c>
    </row>
    <row r="6" customFormat="false" ht="15" hidden="false" customHeight="false" outlineLevel="0" collapsed="false">
      <c r="A6" s="2" t="s">
        <v>17</v>
      </c>
      <c r="B6" s="2" t="s">
        <v>19</v>
      </c>
      <c r="C6" s="2" t="s">
        <v>20</v>
      </c>
      <c r="D6" s="2" t="n">
        <v>405</v>
      </c>
      <c r="E6" s="2" t="n">
        <v>532</v>
      </c>
      <c r="F6" s="2" t="n">
        <v>9</v>
      </c>
      <c r="G6" s="2" t="n">
        <v>2</v>
      </c>
      <c r="H6" s="2" t="n">
        <v>4</v>
      </c>
      <c r="I6" s="2" t="n">
        <v>0</v>
      </c>
      <c r="J6" s="2" t="n">
        <f aca="false">F6+G6+H6</f>
        <v>15</v>
      </c>
      <c r="K6" s="3" t="n">
        <f aca="false">J6/D6</f>
        <v>0.037037037037037</v>
      </c>
    </row>
    <row r="7" customFormat="false" ht="15" hidden="false" customHeight="false" outlineLevel="0" collapsed="false">
      <c r="A7" s="2" t="s">
        <v>21</v>
      </c>
      <c r="B7" s="2" t="s">
        <v>22</v>
      </c>
      <c r="C7" s="2" t="s">
        <v>23</v>
      </c>
      <c r="D7" s="2" t="n">
        <v>3042</v>
      </c>
      <c r="E7" s="2" t="n">
        <v>3892</v>
      </c>
      <c r="F7" s="2" t="n">
        <v>167</v>
      </c>
      <c r="G7" s="2" t="n">
        <v>25</v>
      </c>
      <c r="H7" s="2" t="n">
        <v>78</v>
      </c>
      <c r="I7" s="2" t="n">
        <v>18</v>
      </c>
      <c r="J7" s="2" t="n">
        <f aca="false">F7+G7+H7</f>
        <v>270</v>
      </c>
      <c r="K7" s="3" t="n">
        <f aca="false">J7/D7</f>
        <v>0.0887573964497041</v>
      </c>
    </row>
    <row r="8" customFormat="false" ht="15" hidden="false" customHeight="false" outlineLevel="0" collapsed="false">
      <c r="A8" s="2" t="s">
        <v>24</v>
      </c>
      <c r="B8" s="2" t="s">
        <v>15</v>
      </c>
      <c r="C8" s="2" t="s">
        <v>13</v>
      </c>
      <c r="D8" s="2" t="n">
        <v>4375</v>
      </c>
      <c r="E8" s="2" t="n">
        <v>6755</v>
      </c>
      <c r="F8" s="2" t="n">
        <v>130</v>
      </c>
      <c r="G8" s="2" t="n">
        <v>20</v>
      </c>
      <c r="H8" s="2" t="n">
        <v>34</v>
      </c>
      <c r="I8" s="2" t="n">
        <v>10</v>
      </c>
      <c r="J8" s="2" t="n">
        <f aca="false">F8+G8+H8</f>
        <v>184</v>
      </c>
      <c r="K8" s="3" t="n">
        <f aca="false">J8/D8</f>
        <v>0.0420571428571429</v>
      </c>
    </row>
    <row r="9" customFormat="false" ht="15" hidden="false" customHeight="false" outlineLevel="0" collapsed="false">
      <c r="A9" s="2" t="s">
        <v>25</v>
      </c>
      <c r="B9" s="2" t="s">
        <v>26</v>
      </c>
      <c r="C9" s="2" t="s">
        <v>23</v>
      </c>
      <c r="D9" s="2" t="n">
        <v>3272</v>
      </c>
      <c r="E9" s="2" t="n">
        <v>4789</v>
      </c>
      <c r="F9" s="2" t="n">
        <v>57</v>
      </c>
      <c r="G9" s="2" t="n">
        <v>6</v>
      </c>
      <c r="H9" s="2" t="n">
        <v>17</v>
      </c>
      <c r="I9" s="2" t="n">
        <v>4</v>
      </c>
      <c r="J9" s="2" t="n">
        <f aca="false">F9+G9+H9</f>
        <v>80</v>
      </c>
      <c r="K9" s="3" t="n">
        <f aca="false">J9/D9</f>
        <v>0.0244498777506113</v>
      </c>
    </row>
    <row r="10" customFormat="false" ht="15" hidden="false" customHeight="false" outlineLevel="0" collapsed="false">
      <c r="A10" s="2" t="s">
        <v>25</v>
      </c>
      <c r="B10" s="2" t="s">
        <v>12</v>
      </c>
      <c r="C10" s="2" t="s">
        <v>23</v>
      </c>
      <c r="D10" s="2" t="n">
        <v>1388</v>
      </c>
      <c r="E10" s="2" t="n">
        <v>2014</v>
      </c>
      <c r="F10" s="2" t="n">
        <v>20</v>
      </c>
      <c r="G10" s="2" t="n">
        <v>2</v>
      </c>
      <c r="H10" s="2" t="n">
        <v>8</v>
      </c>
      <c r="I10" s="2" t="n">
        <v>1</v>
      </c>
      <c r="J10" s="2" t="n">
        <f aca="false">F10+G10+H10</f>
        <v>30</v>
      </c>
      <c r="K10" s="3" t="n">
        <f aca="false">J10/D10</f>
        <v>0.0216138328530259</v>
      </c>
    </row>
    <row r="11" customFormat="false" ht="15" hidden="false" customHeight="false" outlineLevel="0" collapsed="false">
      <c r="A11" s="2" t="s">
        <v>27</v>
      </c>
      <c r="B11" s="2" t="s">
        <v>15</v>
      </c>
      <c r="C11" s="2" t="s">
        <v>18</v>
      </c>
      <c r="D11" s="2" t="n">
        <v>5617</v>
      </c>
      <c r="E11" s="2" t="n">
        <v>7465</v>
      </c>
      <c r="F11" s="2" t="n">
        <v>319</v>
      </c>
      <c r="G11" s="2" t="n">
        <v>32</v>
      </c>
      <c r="H11" s="2" t="n">
        <v>122</v>
      </c>
      <c r="I11" s="2" t="n">
        <v>21</v>
      </c>
      <c r="J11" s="2" t="n">
        <f aca="false">F11+G11+H11</f>
        <v>473</v>
      </c>
      <c r="K11" s="3" t="n">
        <f aca="false">J11/D11</f>
        <v>0.0842086523055012</v>
      </c>
    </row>
    <row r="12" customFormat="false" ht="15" hidden="false" customHeight="false" outlineLevel="0" collapsed="false">
      <c r="A12" s="2" t="s">
        <v>27</v>
      </c>
      <c r="B12" s="2" t="s">
        <v>15</v>
      </c>
      <c r="C12" s="2" t="s">
        <v>18</v>
      </c>
      <c r="D12" s="2" t="n">
        <v>5438</v>
      </c>
      <c r="E12" s="2" t="n">
        <v>6935</v>
      </c>
      <c r="F12" s="2" t="n">
        <v>175</v>
      </c>
      <c r="G12" s="2" t="n">
        <v>37</v>
      </c>
      <c r="H12" s="2" t="n">
        <v>55</v>
      </c>
      <c r="I12" s="2" t="n">
        <v>21</v>
      </c>
      <c r="J12" s="2" t="n">
        <f aca="false">F12+G12+H12</f>
        <v>267</v>
      </c>
      <c r="K12" s="3" t="n">
        <f aca="false">J12/D12</f>
        <v>0.0490989334314086</v>
      </c>
    </row>
    <row r="13" customFormat="false" ht="15" hidden="false" customHeight="false" outlineLevel="0" collapsed="false">
      <c r="A13" s="2" t="s">
        <v>28</v>
      </c>
      <c r="B13" s="2" t="s">
        <v>15</v>
      </c>
      <c r="C13" s="2" t="s">
        <v>18</v>
      </c>
      <c r="D13" s="2" t="n">
        <v>1538</v>
      </c>
      <c r="E13" s="2" t="n">
        <v>1777</v>
      </c>
      <c r="F13" s="2" t="n">
        <v>75</v>
      </c>
      <c r="G13" s="2" t="n">
        <v>9</v>
      </c>
      <c r="H13" s="2" t="n">
        <v>36</v>
      </c>
      <c r="I13" s="2" t="n">
        <v>3</v>
      </c>
      <c r="J13" s="2" t="n">
        <f aca="false">F13+G13+H13</f>
        <v>120</v>
      </c>
      <c r="K13" s="3" t="n">
        <f aca="false">J13/D13</f>
        <v>0.0780234070221066</v>
      </c>
    </row>
    <row r="14" customFormat="false" ht="15" hidden="false" customHeight="false" outlineLevel="0" collapsed="false">
      <c r="A14" s="2" t="s">
        <v>29</v>
      </c>
      <c r="B14" s="2" t="s">
        <v>15</v>
      </c>
      <c r="C14" s="2" t="s">
        <v>18</v>
      </c>
      <c r="D14" s="2" t="n">
        <v>3554</v>
      </c>
      <c r="E14" s="2" t="n">
        <v>5075</v>
      </c>
      <c r="F14" s="2" t="n">
        <v>145</v>
      </c>
      <c r="G14" s="2" t="n">
        <v>33</v>
      </c>
      <c r="H14" s="2" t="n">
        <v>61</v>
      </c>
      <c r="I14" s="2" t="n">
        <v>16</v>
      </c>
      <c r="J14" s="2" t="n">
        <f aca="false">F14+G14+H14</f>
        <v>239</v>
      </c>
      <c r="K14" s="3" t="n">
        <f aca="false">J14/D14</f>
        <v>0.0672481710748453</v>
      </c>
    </row>
    <row r="15" customFormat="false" ht="15" hidden="false" customHeight="false" outlineLevel="0" collapsed="false">
      <c r="A15" s="2" t="s">
        <v>29</v>
      </c>
      <c r="B15" s="2" t="s">
        <v>26</v>
      </c>
      <c r="C15" s="2" t="s">
        <v>16</v>
      </c>
      <c r="D15" s="2" t="n">
        <v>3647</v>
      </c>
      <c r="E15" s="2" t="n">
        <v>4838</v>
      </c>
      <c r="F15" s="2" t="n">
        <v>108</v>
      </c>
      <c r="G15" s="2" t="n">
        <v>20</v>
      </c>
      <c r="H15" s="2" t="n">
        <v>47</v>
      </c>
      <c r="I15" s="2" t="n">
        <v>4</v>
      </c>
      <c r="J15" s="2" t="n">
        <f aca="false">F15+G15+H15</f>
        <v>175</v>
      </c>
      <c r="K15" s="3" t="n">
        <f aca="false">J15/D15</f>
        <v>0.0479846449136276</v>
      </c>
    </row>
    <row r="16" customFormat="false" ht="15" hidden="false" customHeight="false" outlineLevel="0" collapsed="false">
      <c r="A16" s="2" t="s">
        <v>30</v>
      </c>
      <c r="B16" s="2" t="s">
        <v>15</v>
      </c>
      <c r="C16" s="2" t="s">
        <v>20</v>
      </c>
      <c r="D16" s="2" t="n">
        <v>3649</v>
      </c>
      <c r="E16" s="2" t="n">
        <v>5127</v>
      </c>
      <c r="F16" s="2" t="n">
        <v>156</v>
      </c>
      <c r="G16" s="2" t="n">
        <v>23</v>
      </c>
      <c r="H16" s="2" t="n">
        <v>31</v>
      </c>
      <c r="I16" s="2" t="n">
        <v>5</v>
      </c>
      <c r="J16" s="2" t="n">
        <f aca="false">F16+G16+H16</f>
        <v>210</v>
      </c>
      <c r="K16" s="3" t="n">
        <f aca="false">J16/D16</f>
        <v>0.0575500137023842</v>
      </c>
    </row>
    <row r="17" customFormat="false" ht="15" hidden="false" customHeight="false" outlineLevel="0" collapsed="false">
      <c r="A17" s="2" t="s">
        <v>31</v>
      </c>
      <c r="B17" s="2" t="s">
        <v>19</v>
      </c>
      <c r="C17" s="2" t="s">
        <v>20</v>
      </c>
      <c r="D17" s="2" t="n">
        <v>1627</v>
      </c>
      <c r="E17" s="2" t="n">
        <v>2312</v>
      </c>
      <c r="F17" s="2" t="n">
        <v>54</v>
      </c>
      <c r="G17" s="2" t="n">
        <v>9</v>
      </c>
      <c r="H17" s="2" t="n">
        <v>24</v>
      </c>
      <c r="I17" s="2" t="n">
        <v>7</v>
      </c>
      <c r="J17" s="2" t="n">
        <f aca="false">F17+G17+H17</f>
        <v>87</v>
      </c>
      <c r="K17" s="3" t="n">
        <f aca="false">J17/D17</f>
        <v>0.0534726490473264</v>
      </c>
    </row>
    <row r="18" customFormat="false" ht="15" hidden="false" customHeight="false" outlineLevel="0" collapsed="false">
      <c r="A18" s="2" t="s">
        <v>32</v>
      </c>
      <c r="B18" s="2" t="s">
        <v>15</v>
      </c>
      <c r="C18" s="2" t="s">
        <v>20</v>
      </c>
      <c r="D18" s="2" t="n">
        <v>4098</v>
      </c>
      <c r="E18" s="2" t="n">
        <v>5989</v>
      </c>
      <c r="F18" s="2" t="n">
        <v>145</v>
      </c>
      <c r="G18" s="2" t="n">
        <v>33</v>
      </c>
      <c r="H18" s="2" t="n">
        <v>52</v>
      </c>
      <c r="I18" s="2" t="n">
        <v>10</v>
      </c>
      <c r="J18" s="2" t="n">
        <f aca="false">F18+G18+H18</f>
        <v>230</v>
      </c>
      <c r="K18" s="3" t="n">
        <f aca="false">J18/D18</f>
        <v>0.0561249389946315</v>
      </c>
    </row>
    <row r="19" customFormat="false" ht="15" hidden="false" customHeight="false" outlineLevel="0" collapsed="false">
      <c r="A19" s="2" t="s">
        <v>33</v>
      </c>
      <c r="B19" s="2" t="s">
        <v>15</v>
      </c>
      <c r="C19" s="2" t="s">
        <v>20</v>
      </c>
      <c r="D19" s="2" t="n">
        <v>2525</v>
      </c>
      <c r="E19" s="2" t="n">
        <v>3493</v>
      </c>
      <c r="F19" s="2" t="n">
        <v>138</v>
      </c>
      <c r="G19" s="2" t="n">
        <v>15</v>
      </c>
      <c r="H19" s="2" t="n">
        <v>58</v>
      </c>
      <c r="I19" s="2" t="n">
        <v>11</v>
      </c>
      <c r="J19" s="2" t="n">
        <f aca="false">F19+G19+H19</f>
        <v>211</v>
      </c>
      <c r="K19" s="3" t="n">
        <f aca="false">J19/D19</f>
        <v>0.0835643564356436</v>
      </c>
    </row>
    <row r="20" customFormat="false" ht="15" hidden="false" customHeight="false" outlineLevel="0" collapsed="false">
      <c r="A20" s="2" t="s">
        <v>33</v>
      </c>
      <c r="B20" s="2" t="s">
        <v>19</v>
      </c>
      <c r="C20" s="2" t="s">
        <v>18</v>
      </c>
      <c r="D20" s="2" t="n">
        <v>959</v>
      </c>
      <c r="E20" s="2" t="n">
        <v>1430</v>
      </c>
      <c r="F20" s="2" t="n">
        <v>20</v>
      </c>
      <c r="G20" s="2" t="n">
        <v>3</v>
      </c>
      <c r="H20" s="2" t="n">
        <v>9</v>
      </c>
      <c r="I20" s="2" t="n">
        <v>2</v>
      </c>
      <c r="J20" s="2" t="n">
        <f aca="false">F20+G20+H20</f>
        <v>32</v>
      </c>
      <c r="K20" s="3" t="n">
        <f aca="false">J20/D20</f>
        <v>0.0333680917622524</v>
      </c>
    </row>
    <row r="21" customFormat="false" ht="15" hidden="false" customHeight="false" outlineLevel="0" collapsed="false">
      <c r="A21" s="2" t="s">
        <v>34</v>
      </c>
      <c r="B21" s="2" t="s">
        <v>12</v>
      </c>
      <c r="C21" s="2" t="s">
        <v>13</v>
      </c>
      <c r="D21" s="2" t="n">
        <v>896</v>
      </c>
      <c r="E21" s="2" t="n">
        <v>1349</v>
      </c>
      <c r="F21" s="2" t="n">
        <v>30</v>
      </c>
      <c r="G21" s="2" t="n">
        <v>5</v>
      </c>
      <c r="H21" s="2" t="n">
        <v>13</v>
      </c>
      <c r="I21" s="2" t="n">
        <v>2</v>
      </c>
      <c r="J21" s="2" t="n">
        <f aca="false">F21+G21+H21</f>
        <v>48</v>
      </c>
      <c r="K21" s="3" t="n">
        <f aca="false">J21/D21</f>
        <v>0.0535714285714286</v>
      </c>
    </row>
    <row r="22" customFormat="false" ht="15" hidden="false" customHeight="false" outlineLevel="0" collapsed="false">
      <c r="A22" s="2" t="s">
        <v>35</v>
      </c>
      <c r="B22" s="2" t="s">
        <v>15</v>
      </c>
      <c r="C22" s="2" t="s">
        <v>13</v>
      </c>
      <c r="D22" s="2" t="n">
        <v>4341</v>
      </c>
      <c r="E22" s="2" t="n">
        <v>5391</v>
      </c>
      <c r="F22" s="2" t="n">
        <v>203</v>
      </c>
      <c r="G22" s="2" t="n">
        <v>37</v>
      </c>
      <c r="H22" s="2" t="n">
        <v>36</v>
      </c>
      <c r="I22" s="2" t="n">
        <v>13</v>
      </c>
      <c r="J22" s="2" t="n">
        <f aca="false">F22+G22+H22</f>
        <v>276</v>
      </c>
      <c r="K22" s="3" t="n">
        <f aca="false">J22/D22</f>
        <v>0.0635798203178991</v>
      </c>
    </row>
    <row r="23" customFormat="false" ht="15" hidden="false" customHeight="false" outlineLevel="0" collapsed="false">
      <c r="A23" s="2" t="s">
        <v>35</v>
      </c>
      <c r="B23" s="2" t="s">
        <v>12</v>
      </c>
      <c r="C23" s="2" t="s">
        <v>13</v>
      </c>
      <c r="D23" s="2" t="n">
        <v>1844</v>
      </c>
      <c r="E23" s="2" t="n">
        <v>2813</v>
      </c>
      <c r="F23" s="2" t="n">
        <v>34</v>
      </c>
      <c r="G23" s="2" t="n">
        <v>6</v>
      </c>
      <c r="H23" s="2" t="n">
        <v>12</v>
      </c>
      <c r="I23" s="2" t="n">
        <v>2</v>
      </c>
      <c r="J23" s="2" t="n">
        <f aca="false">F23+G23+H23</f>
        <v>52</v>
      </c>
      <c r="K23" s="3" t="n">
        <f aca="false">J23/D23</f>
        <v>0.0281995661605206</v>
      </c>
    </row>
    <row r="24" customFormat="false" ht="15" hidden="false" customHeight="false" outlineLevel="0" collapsed="false">
      <c r="A24" s="2" t="s">
        <v>35</v>
      </c>
      <c r="B24" s="2" t="s">
        <v>26</v>
      </c>
      <c r="C24" s="2" t="s">
        <v>23</v>
      </c>
      <c r="D24" s="2" t="n">
        <v>6460</v>
      </c>
      <c r="E24" s="2" t="n">
        <v>9757</v>
      </c>
      <c r="F24" s="2" t="n">
        <v>375</v>
      </c>
      <c r="G24" s="2" t="n">
        <v>51</v>
      </c>
      <c r="H24" s="2" t="n">
        <v>143</v>
      </c>
      <c r="I24" s="2" t="n">
        <v>44</v>
      </c>
      <c r="J24" s="2" t="n">
        <f aca="false">F24+G24+H24</f>
        <v>569</v>
      </c>
      <c r="K24" s="3" t="n">
        <f aca="false">J24/D24</f>
        <v>0.0880804953560372</v>
      </c>
    </row>
    <row r="25" customFormat="false" ht="15" hidden="false" customHeight="false" outlineLevel="0" collapsed="false">
      <c r="A25" s="2" t="s">
        <v>36</v>
      </c>
      <c r="B25" s="2" t="s">
        <v>15</v>
      </c>
      <c r="C25" s="2" t="s">
        <v>23</v>
      </c>
      <c r="D25" s="2" t="n">
        <v>2918</v>
      </c>
      <c r="E25" s="2" t="n">
        <v>4415</v>
      </c>
      <c r="F25" s="2" t="n">
        <v>64</v>
      </c>
      <c r="G25" s="2" t="n">
        <v>13</v>
      </c>
      <c r="H25" s="2" t="n">
        <v>11</v>
      </c>
      <c r="I25" s="2" t="n">
        <v>5</v>
      </c>
      <c r="J25" s="2" t="n">
        <f aca="false">F25+G25+H25</f>
        <v>88</v>
      </c>
      <c r="K25" s="3" t="n">
        <f aca="false">J25/D25</f>
        <v>0.0301576422206991</v>
      </c>
    </row>
    <row r="26" customFormat="false" ht="15" hidden="false" customHeight="false" outlineLevel="0" collapsed="false">
      <c r="A26" s="2" t="s">
        <v>37</v>
      </c>
      <c r="B26" s="2" t="s">
        <v>15</v>
      </c>
      <c r="C26" s="2" t="s">
        <v>13</v>
      </c>
      <c r="D26" s="2" t="n">
        <v>4922</v>
      </c>
      <c r="E26" s="2" t="n">
        <v>5888</v>
      </c>
      <c r="F26" s="2" t="n">
        <v>222</v>
      </c>
      <c r="G26" s="2" t="n">
        <v>53</v>
      </c>
      <c r="H26" s="2" t="n">
        <v>82</v>
      </c>
      <c r="I26" s="2" t="n">
        <v>11</v>
      </c>
      <c r="J26" s="2" t="n">
        <f aca="false">F26+G26+H26</f>
        <v>357</v>
      </c>
      <c r="K26" s="3" t="n">
        <f aca="false">J26/D26</f>
        <v>0.0725314912637139</v>
      </c>
    </row>
    <row r="27" customFormat="false" ht="15" hidden="false" customHeight="false" outlineLevel="0" collapsed="false">
      <c r="A27" s="2" t="s">
        <v>38</v>
      </c>
      <c r="B27" s="2" t="s">
        <v>19</v>
      </c>
      <c r="C27" s="2" t="s">
        <v>16</v>
      </c>
      <c r="D27" s="2" t="n">
        <v>834</v>
      </c>
      <c r="E27" s="2" t="n">
        <v>1081</v>
      </c>
      <c r="F27" s="2" t="n">
        <v>35</v>
      </c>
      <c r="G27" s="2" t="n">
        <v>3</v>
      </c>
      <c r="H27" s="2" t="n">
        <v>10</v>
      </c>
      <c r="I27" s="2" t="n">
        <v>3</v>
      </c>
      <c r="J27" s="2" t="n">
        <f aca="false">F27+G27+H27</f>
        <v>48</v>
      </c>
      <c r="K27" s="3" t="n">
        <f aca="false">J27/D27</f>
        <v>0.0575539568345324</v>
      </c>
    </row>
    <row r="28" customFormat="false" ht="15" hidden="false" customHeight="false" outlineLevel="0" collapsed="false">
      <c r="A28" s="2" t="s">
        <v>39</v>
      </c>
      <c r="B28" s="2" t="s">
        <v>26</v>
      </c>
      <c r="C28" s="2" t="s">
        <v>18</v>
      </c>
      <c r="D28" s="2" t="n">
        <v>3494</v>
      </c>
      <c r="E28" s="2" t="n">
        <v>4048</v>
      </c>
      <c r="F28" s="2" t="n">
        <v>112</v>
      </c>
      <c r="G28" s="2" t="n">
        <v>9</v>
      </c>
      <c r="H28" s="2" t="n">
        <v>57</v>
      </c>
      <c r="I28" s="2" t="n">
        <v>12</v>
      </c>
      <c r="J28" s="2" t="n">
        <f aca="false">F28+G28+H28</f>
        <v>178</v>
      </c>
      <c r="K28" s="3" t="n">
        <f aca="false">J28/D28</f>
        <v>0.0509444762449914</v>
      </c>
    </row>
    <row r="29" customFormat="false" ht="15" hidden="false" customHeight="false" outlineLevel="0" collapsed="false">
      <c r="A29" s="2" t="s">
        <v>39</v>
      </c>
      <c r="B29" s="2" t="s">
        <v>15</v>
      </c>
      <c r="C29" s="2" t="s">
        <v>23</v>
      </c>
      <c r="D29" s="2" t="n">
        <v>3844</v>
      </c>
      <c r="E29" s="2" t="n">
        <v>5492</v>
      </c>
      <c r="F29" s="2" t="n">
        <v>66</v>
      </c>
      <c r="G29" s="2" t="n">
        <v>13</v>
      </c>
      <c r="H29" s="2" t="n">
        <v>30</v>
      </c>
      <c r="I29" s="2" t="n">
        <v>6</v>
      </c>
      <c r="J29" s="2" t="n">
        <f aca="false">F29+G29+H29</f>
        <v>109</v>
      </c>
      <c r="K29" s="3" t="n">
        <f aca="false">J29/D29</f>
        <v>0.0283558792924037</v>
      </c>
    </row>
    <row r="30" customFormat="false" ht="15" hidden="false" customHeight="false" outlineLevel="0" collapsed="false">
      <c r="A30" s="2" t="s">
        <v>40</v>
      </c>
      <c r="B30" s="2" t="s">
        <v>26</v>
      </c>
      <c r="C30" s="2" t="s">
        <v>13</v>
      </c>
      <c r="D30" s="2" t="n">
        <v>6016</v>
      </c>
      <c r="E30" s="2" t="n">
        <v>9009</v>
      </c>
      <c r="F30" s="2" t="n">
        <v>229</v>
      </c>
      <c r="G30" s="2" t="n">
        <v>42</v>
      </c>
      <c r="H30" s="2" t="n">
        <v>63</v>
      </c>
      <c r="I30" s="2" t="n">
        <v>25</v>
      </c>
      <c r="J30" s="2" t="n">
        <f aca="false">F30+G30+H30</f>
        <v>334</v>
      </c>
      <c r="K30" s="3" t="n">
        <f aca="false">J30/D30</f>
        <v>0.0555186170212766</v>
      </c>
    </row>
    <row r="31" customFormat="false" ht="15" hidden="false" customHeight="false" outlineLevel="0" collapsed="false">
      <c r="A31" s="2" t="s">
        <v>40</v>
      </c>
      <c r="B31" s="2" t="s">
        <v>22</v>
      </c>
      <c r="C31" s="2" t="s">
        <v>16</v>
      </c>
      <c r="D31" s="2" t="n">
        <v>3333</v>
      </c>
      <c r="E31" s="2" t="n">
        <v>5293</v>
      </c>
      <c r="F31" s="2" t="n">
        <v>131</v>
      </c>
      <c r="G31" s="2" t="n">
        <v>16</v>
      </c>
      <c r="H31" s="2" t="n">
        <v>61</v>
      </c>
      <c r="I31" s="2" t="n">
        <v>11</v>
      </c>
      <c r="J31" s="2" t="n">
        <f aca="false">F31+G31+H31</f>
        <v>208</v>
      </c>
      <c r="K31" s="3" t="n">
        <f aca="false">J31/D31</f>
        <v>0.0624062406240624</v>
      </c>
    </row>
    <row r="32" customFormat="false" ht="15" hidden="false" customHeight="false" outlineLevel="0" collapsed="false">
      <c r="A32" s="2" t="s">
        <v>41</v>
      </c>
      <c r="B32" s="2" t="s">
        <v>19</v>
      </c>
      <c r="C32" s="2" t="s">
        <v>20</v>
      </c>
      <c r="D32" s="2" t="n">
        <v>3037</v>
      </c>
      <c r="E32" s="2" t="n">
        <v>3769</v>
      </c>
      <c r="F32" s="2" t="n">
        <v>103</v>
      </c>
      <c r="G32" s="2" t="n">
        <v>14</v>
      </c>
      <c r="H32" s="2" t="n">
        <v>39</v>
      </c>
      <c r="I32" s="2" t="n">
        <v>6</v>
      </c>
      <c r="J32" s="2" t="n">
        <f aca="false">F32+G32+H32</f>
        <v>156</v>
      </c>
      <c r="K32" s="3" t="n">
        <f aca="false">J32/D32</f>
        <v>0.0513664800790254</v>
      </c>
    </row>
    <row r="33" customFormat="false" ht="15" hidden="false" customHeight="false" outlineLevel="0" collapsed="false">
      <c r="A33" s="2" t="s">
        <v>42</v>
      </c>
      <c r="B33" s="2" t="s">
        <v>15</v>
      </c>
      <c r="C33" s="2" t="s">
        <v>13</v>
      </c>
      <c r="D33" s="2" t="n">
        <v>2806</v>
      </c>
      <c r="E33" s="2" t="n">
        <v>4360</v>
      </c>
      <c r="F33" s="2" t="n">
        <v>61</v>
      </c>
      <c r="G33" s="2" t="n">
        <v>10</v>
      </c>
      <c r="H33" s="2" t="n">
        <v>15</v>
      </c>
      <c r="I33" s="2" t="n">
        <v>2</v>
      </c>
      <c r="J33" s="2" t="n">
        <f aca="false">F33+G33+H33</f>
        <v>86</v>
      </c>
      <c r="K33" s="3" t="n">
        <f aca="false">J33/D33</f>
        <v>0.0306486101211689</v>
      </c>
    </row>
    <row r="34" customFormat="false" ht="15" hidden="false" customHeight="false" outlineLevel="0" collapsed="false">
      <c r="A34" s="2" t="s">
        <v>43</v>
      </c>
      <c r="B34" s="2" t="s">
        <v>22</v>
      </c>
      <c r="C34" s="2" t="s">
        <v>23</v>
      </c>
      <c r="D34" s="2" t="n">
        <v>3370</v>
      </c>
      <c r="E34" s="2" t="n">
        <v>4215</v>
      </c>
      <c r="F34" s="2" t="n">
        <v>175</v>
      </c>
      <c r="G34" s="2" t="n">
        <v>21</v>
      </c>
      <c r="H34" s="2" t="n">
        <v>38</v>
      </c>
      <c r="I34" s="2" t="n">
        <v>11</v>
      </c>
      <c r="J34" s="2" t="n">
        <f aca="false">F34+G34+H34</f>
        <v>234</v>
      </c>
      <c r="K34" s="3" t="n">
        <f aca="false">J34/D34</f>
        <v>0.0694362017804154</v>
      </c>
    </row>
    <row r="35" customFormat="false" ht="15" hidden="false" customHeight="false" outlineLevel="0" collapsed="false">
      <c r="A35" s="2" t="s">
        <v>43</v>
      </c>
      <c r="B35" s="2" t="s">
        <v>22</v>
      </c>
      <c r="C35" s="2" t="s">
        <v>13</v>
      </c>
      <c r="D35" s="2" t="n">
        <v>3828</v>
      </c>
      <c r="E35" s="2" t="n">
        <v>5646</v>
      </c>
      <c r="F35" s="2" t="n">
        <v>56</v>
      </c>
      <c r="G35" s="2" t="n">
        <v>8</v>
      </c>
      <c r="H35" s="2" t="n">
        <v>18</v>
      </c>
      <c r="I35" s="2" t="n">
        <v>2</v>
      </c>
      <c r="J35" s="2" t="n">
        <f aca="false">F35+G35+H35</f>
        <v>82</v>
      </c>
      <c r="K35" s="3" t="n">
        <f aca="false">J35/D35</f>
        <v>0.0214211076280042</v>
      </c>
    </row>
    <row r="36" customFormat="false" ht="15" hidden="false" customHeight="false" outlineLevel="0" collapsed="false">
      <c r="A36" s="2" t="s">
        <v>43</v>
      </c>
      <c r="B36" s="2" t="s">
        <v>22</v>
      </c>
      <c r="C36" s="2" t="s">
        <v>16</v>
      </c>
      <c r="D36" s="2" t="n">
        <v>1986</v>
      </c>
      <c r="E36" s="2" t="n">
        <v>2385</v>
      </c>
      <c r="F36" s="2" t="n">
        <v>106</v>
      </c>
      <c r="G36" s="2" t="n">
        <v>23</v>
      </c>
      <c r="H36" s="2" t="n">
        <v>38</v>
      </c>
      <c r="I36" s="2" t="n">
        <v>4</v>
      </c>
      <c r="J36" s="2" t="n">
        <f aca="false">F36+G36+H36</f>
        <v>167</v>
      </c>
      <c r="K36" s="3" t="n">
        <f aca="false">J36/D36</f>
        <v>0.0840886203423968</v>
      </c>
    </row>
    <row r="37" customFormat="false" ht="15" hidden="false" customHeight="false" outlineLevel="0" collapsed="false">
      <c r="A37" s="2" t="s">
        <v>44</v>
      </c>
      <c r="B37" s="2" t="s">
        <v>15</v>
      </c>
      <c r="C37" s="2" t="s">
        <v>18</v>
      </c>
      <c r="D37" s="2" t="n">
        <v>7945</v>
      </c>
      <c r="E37" s="2" t="n">
        <v>12068</v>
      </c>
      <c r="F37" s="2" t="n">
        <v>443</v>
      </c>
      <c r="G37" s="2" t="n">
        <v>91</v>
      </c>
      <c r="H37" s="2" t="n">
        <v>97</v>
      </c>
      <c r="I37" s="2" t="n">
        <v>28</v>
      </c>
      <c r="J37" s="2" t="n">
        <f aca="false">F37+G37+H37</f>
        <v>631</v>
      </c>
      <c r="K37" s="3" t="n">
        <f aca="false">J37/D37</f>
        <v>0.0794210195091252</v>
      </c>
    </row>
    <row r="38" customFormat="false" ht="15" hidden="false" customHeight="false" outlineLevel="0" collapsed="false">
      <c r="A38" s="2" t="s">
        <v>44</v>
      </c>
      <c r="B38" s="2" t="s">
        <v>19</v>
      </c>
      <c r="C38" s="2" t="s">
        <v>16</v>
      </c>
      <c r="D38" s="2" t="n">
        <v>935</v>
      </c>
      <c r="E38" s="2" t="n">
        <v>1113</v>
      </c>
      <c r="F38" s="2" t="n">
        <v>15</v>
      </c>
      <c r="G38" s="2" t="n">
        <v>2</v>
      </c>
      <c r="H38" s="2" t="n">
        <v>5</v>
      </c>
      <c r="I38" s="2" t="n">
        <v>1</v>
      </c>
      <c r="J38" s="2" t="n">
        <f aca="false">F38+G38+H38</f>
        <v>22</v>
      </c>
      <c r="K38" s="3" t="n">
        <f aca="false">J38/D38</f>
        <v>0.0235294117647059</v>
      </c>
    </row>
    <row r="39" customFormat="false" ht="15" hidden="false" customHeight="false" outlineLevel="0" collapsed="false">
      <c r="A39" s="2" t="s">
        <v>44</v>
      </c>
      <c r="B39" s="2" t="s">
        <v>26</v>
      </c>
      <c r="C39" s="2" t="s">
        <v>13</v>
      </c>
      <c r="D39" s="2" t="n">
        <v>4693</v>
      </c>
      <c r="E39" s="2" t="n">
        <v>7090</v>
      </c>
      <c r="F39" s="2" t="n">
        <v>88</v>
      </c>
      <c r="G39" s="2" t="n">
        <v>7</v>
      </c>
      <c r="H39" s="2" t="n">
        <v>26</v>
      </c>
      <c r="I39" s="2" t="n">
        <v>9</v>
      </c>
      <c r="J39" s="2" t="n">
        <f aca="false">F39+G39+H39</f>
        <v>121</v>
      </c>
      <c r="K39" s="3" t="n">
        <f aca="false">J39/D39</f>
        <v>0.0257830811847432</v>
      </c>
    </row>
    <row r="40" customFormat="false" ht="15" hidden="false" customHeight="false" outlineLevel="0" collapsed="false">
      <c r="A40" s="2" t="s">
        <v>45</v>
      </c>
      <c r="B40" s="2" t="s">
        <v>19</v>
      </c>
      <c r="C40" s="2" t="s">
        <v>20</v>
      </c>
      <c r="D40" s="2" t="n">
        <v>1698</v>
      </c>
      <c r="E40" s="2" t="n">
        <v>2495</v>
      </c>
      <c r="F40" s="2" t="n">
        <v>108</v>
      </c>
      <c r="G40" s="2" t="n">
        <v>11</v>
      </c>
      <c r="H40" s="2" t="n">
        <v>26</v>
      </c>
      <c r="I40" s="2" t="n">
        <v>4</v>
      </c>
      <c r="J40" s="2" t="n">
        <f aca="false">F40+G40+H40</f>
        <v>145</v>
      </c>
      <c r="K40" s="3" t="n">
        <f aca="false">J40/D40</f>
        <v>0.085394581861013</v>
      </c>
    </row>
    <row r="41" customFormat="false" ht="15" hidden="false" customHeight="false" outlineLevel="0" collapsed="false">
      <c r="A41" s="2" t="s">
        <v>46</v>
      </c>
      <c r="B41" s="2" t="s">
        <v>22</v>
      </c>
      <c r="C41" s="2" t="s">
        <v>18</v>
      </c>
      <c r="D41" s="2" t="n">
        <v>2461</v>
      </c>
      <c r="E41" s="2" t="n">
        <v>3130</v>
      </c>
      <c r="F41" s="2" t="n">
        <v>141</v>
      </c>
      <c r="G41" s="2" t="n">
        <v>10</v>
      </c>
      <c r="H41" s="2" t="n">
        <v>37</v>
      </c>
      <c r="I41" s="2" t="n">
        <v>4</v>
      </c>
      <c r="J41" s="2" t="n">
        <f aca="false">F41+G41+H41</f>
        <v>188</v>
      </c>
      <c r="K41" s="3" t="n">
        <f aca="false">J41/D41</f>
        <v>0.0763917106867127</v>
      </c>
    </row>
    <row r="42" customFormat="false" ht="15" hidden="false" customHeight="false" outlineLevel="0" collapsed="false">
      <c r="A42" s="2" t="s">
        <v>47</v>
      </c>
      <c r="B42" s="2" t="s">
        <v>19</v>
      </c>
      <c r="C42" s="2" t="s">
        <v>18</v>
      </c>
      <c r="D42" s="2" t="n">
        <v>2115</v>
      </c>
      <c r="E42" s="2" t="n">
        <v>3212</v>
      </c>
      <c r="F42" s="2" t="n">
        <v>71</v>
      </c>
      <c r="G42" s="2" t="n">
        <v>14</v>
      </c>
      <c r="H42" s="2" t="n">
        <v>21</v>
      </c>
      <c r="I42" s="2" t="n">
        <v>5</v>
      </c>
      <c r="J42" s="2" t="n">
        <f aca="false">F42+G42+H42</f>
        <v>106</v>
      </c>
      <c r="K42" s="3" t="n">
        <f aca="false">J42/D42</f>
        <v>0.0501182033096927</v>
      </c>
    </row>
    <row r="43" customFormat="false" ht="15" hidden="false" customHeight="false" outlineLevel="0" collapsed="false">
      <c r="A43" s="2" t="s">
        <v>47</v>
      </c>
      <c r="B43" s="2" t="s">
        <v>19</v>
      </c>
      <c r="C43" s="2" t="s">
        <v>18</v>
      </c>
      <c r="D43" s="2" t="n">
        <v>1714</v>
      </c>
      <c r="E43" s="2" t="n">
        <v>2729</v>
      </c>
      <c r="F43" s="2" t="n">
        <v>54</v>
      </c>
      <c r="G43" s="2" t="n">
        <v>9</v>
      </c>
      <c r="H43" s="2" t="n">
        <v>12</v>
      </c>
      <c r="I43" s="2" t="n">
        <v>4</v>
      </c>
      <c r="J43" s="2" t="n">
        <f aca="false">F43+G43+H43</f>
        <v>75</v>
      </c>
      <c r="K43" s="3" t="n">
        <f aca="false">J43/D43</f>
        <v>0.043757292882147</v>
      </c>
    </row>
    <row r="44" customFormat="false" ht="15" hidden="false" customHeight="false" outlineLevel="0" collapsed="false">
      <c r="A44" s="2" t="s">
        <v>47</v>
      </c>
      <c r="B44" s="2" t="s">
        <v>22</v>
      </c>
      <c r="C44" s="2" t="s">
        <v>20</v>
      </c>
      <c r="D44" s="2" t="n">
        <v>4408</v>
      </c>
      <c r="E44" s="2" t="n">
        <v>5097</v>
      </c>
      <c r="F44" s="2" t="n">
        <v>206</v>
      </c>
      <c r="G44" s="2" t="n">
        <v>26</v>
      </c>
      <c r="H44" s="2" t="n">
        <v>49</v>
      </c>
      <c r="I44" s="2" t="n">
        <v>7</v>
      </c>
      <c r="J44" s="2" t="n">
        <f aca="false">F44+G44+H44</f>
        <v>281</v>
      </c>
      <c r="K44" s="3" t="n">
        <f aca="false">J44/D44</f>
        <v>0.0637477313974592</v>
      </c>
    </row>
    <row r="45" customFormat="false" ht="15" hidden="false" customHeight="false" outlineLevel="0" collapsed="false">
      <c r="A45" s="2" t="s">
        <v>48</v>
      </c>
      <c r="B45" s="2" t="s">
        <v>26</v>
      </c>
      <c r="C45" s="2" t="s">
        <v>16</v>
      </c>
      <c r="D45" s="2" t="n">
        <v>5657</v>
      </c>
      <c r="E45" s="2" t="n">
        <v>7122</v>
      </c>
      <c r="F45" s="2" t="n">
        <v>153</v>
      </c>
      <c r="G45" s="2" t="n">
        <v>15</v>
      </c>
      <c r="H45" s="2" t="n">
        <v>61</v>
      </c>
      <c r="I45" s="2" t="n">
        <v>11</v>
      </c>
      <c r="J45" s="2" t="n">
        <f aca="false">F45+G45+H45</f>
        <v>229</v>
      </c>
      <c r="K45" s="3" t="n">
        <f aca="false">J45/D45</f>
        <v>0.0404808202227329</v>
      </c>
    </row>
    <row r="46" customFormat="false" ht="15" hidden="false" customHeight="false" outlineLevel="0" collapsed="false">
      <c r="A46" s="2" t="s">
        <v>49</v>
      </c>
      <c r="B46" s="2" t="s">
        <v>26</v>
      </c>
      <c r="C46" s="2" t="s">
        <v>16</v>
      </c>
      <c r="D46" s="2" t="n">
        <v>5867</v>
      </c>
      <c r="E46" s="2" t="n">
        <v>9077</v>
      </c>
      <c r="F46" s="2" t="n">
        <v>130</v>
      </c>
      <c r="G46" s="2" t="n">
        <v>17</v>
      </c>
      <c r="H46" s="2" t="n">
        <v>60</v>
      </c>
      <c r="I46" s="2" t="n">
        <v>5</v>
      </c>
      <c r="J46" s="2" t="n">
        <f aca="false">F46+G46+H46</f>
        <v>207</v>
      </c>
      <c r="K46" s="3" t="n">
        <f aca="false">J46/D46</f>
        <v>0.0352820862450997</v>
      </c>
    </row>
    <row r="47" customFormat="false" ht="15" hidden="false" customHeight="false" outlineLevel="0" collapsed="false">
      <c r="A47" s="2" t="s">
        <v>49</v>
      </c>
      <c r="B47" s="2" t="s">
        <v>15</v>
      </c>
      <c r="C47" s="2" t="s">
        <v>18</v>
      </c>
      <c r="D47" s="2" t="n">
        <v>4639</v>
      </c>
      <c r="E47" s="2" t="n">
        <v>5853</v>
      </c>
      <c r="F47" s="2" t="n">
        <v>212</v>
      </c>
      <c r="G47" s="2" t="n">
        <v>45</v>
      </c>
      <c r="H47" s="2" t="n">
        <v>88</v>
      </c>
      <c r="I47" s="2" t="n">
        <v>10</v>
      </c>
      <c r="J47" s="2" t="n">
        <f aca="false">F47+G47+H47</f>
        <v>345</v>
      </c>
      <c r="K47" s="3" t="n">
        <f aca="false">J47/D47</f>
        <v>0.0743694761802113</v>
      </c>
    </row>
    <row r="48" customFormat="false" ht="15" hidden="false" customHeight="false" outlineLevel="0" collapsed="false">
      <c r="A48" s="2" t="s">
        <v>49</v>
      </c>
      <c r="B48" s="2" t="s">
        <v>19</v>
      </c>
      <c r="C48" s="2" t="s">
        <v>23</v>
      </c>
      <c r="D48" s="2" t="n">
        <v>2378</v>
      </c>
      <c r="E48" s="2" t="n">
        <v>2984</v>
      </c>
      <c r="F48" s="2" t="n">
        <v>99</v>
      </c>
      <c r="G48" s="2" t="n">
        <v>18</v>
      </c>
      <c r="H48" s="2" t="n">
        <v>28</v>
      </c>
      <c r="I48" s="2" t="n">
        <v>9</v>
      </c>
      <c r="J48" s="2" t="n">
        <f aca="false">F48+G48+H48</f>
        <v>145</v>
      </c>
      <c r="K48" s="3" t="n">
        <f aca="false">J48/D48</f>
        <v>0.0609756097560976</v>
      </c>
    </row>
    <row r="49" customFormat="false" ht="15" hidden="false" customHeight="false" outlineLevel="0" collapsed="false">
      <c r="A49" s="2" t="s">
        <v>50</v>
      </c>
      <c r="B49" s="2" t="s">
        <v>26</v>
      </c>
      <c r="C49" s="2" t="s">
        <v>18</v>
      </c>
      <c r="D49" s="2" t="n">
        <v>6377</v>
      </c>
      <c r="E49" s="2" t="n">
        <v>8149</v>
      </c>
      <c r="F49" s="2" t="n">
        <v>251</v>
      </c>
      <c r="G49" s="2" t="n">
        <v>54</v>
      </c>
      <c r="H49" s="2" t="n">
        <v>99</v>
      </c>
      <c r="I49" s="2" t="n">
        <v>25</v>
      </c>
      <c r="J49" s="2" t="n">
        <f aca="false">F49+G49+H49</f>
        <v>404</v>
      </c>
      <c r="K49" s="3" t="n">
        <f aca="false">J49/D49</f>
        <v>0.0633526736710052</v>
      </c>
    </row>
    <row r="50" customFormat="false" ht="15" hidden="false" customHeight="false" outlineLevel="0" collapsed="false">
      <c r="A50" s="2" t="s">
        <v>51</v>
      </c>
      <c r="B50" s="2" t="s">
        <v>12</v>
      </c>
      <c r="C50" s="2" t="s">
        <v>16</v>
      </c>
      <c r="D50" s="2" t="n">
        <v>1948</v>
      </c>
      <c r="E50" s="2" t="n">
        <v>2682</v>
      </c>
      <c r="F50" s="2" t="n">
        <v>110</v>
      </c>
      <c r="G50" s="2" t="n">
        <v>20</v>
      </c>
      <c r="H50" s="2" t="n">
        <v>23</v>
      </c>
      <c r="I50" s="2" t="n">
        <v>8</v>
      </c>
      <c r="J50" s="2" t="n">
        <f aca="false">F50+G50+H50</f>
        <v>153</v>
      </c>
      <c r="K50" s="3" t="n">
        <f aca="false">J50/D50</f>
        <v>0.0785420944558522</v>
      </c>
    </row>
    <row r="51" customFormat="false" ht="15" hidden="false" customHeight="false" outlineLevel="0" collapsed="false">
      <c r="A51" s="2" t="s">
        <v>52</v>
      </c>
      <c r="B51" s="2" t="s">
        <v>15</v>
      </c>
      <c r="C51" s="2" t="s">
        <v>20</v>
      </c>
      <c r="D51" s="2" t="n">
        <v>5686</v>
      </c>
      <c r="E51" s="2" t="n">
        <v>8994</v>
      </c>
      <c r="F51" s="2" t="n">
        <v>176</v>
      </c>
      <c r="G51" s="2" t="n">
        <v>15</v>
      </c>
      <c r="H51" s="2" t="n">
        <v>73</v>
      </c>
      <c r="I51" s="2" t="n">
        <v>6</v>
      </c>
      <c r="J51" s="2" t="n">
        <f aca="false">F51+G51+H51</f>
        <v>264</v>
      </c>
      <c r="K51" s="3" t="n">
        <f aca="false">J51/D51</f>
        <v>0.0464298276468519</v>
      </c>
    </row>
    <row r="52" customFormat="false" ht="15" hidden="false" customHeight="false" outlineLevel="0" collapsed="false">
      <c r="A52" s="2" t="s">
        <v>53</v>
      </c>
      <c r="B52" s="2" t="s">
        <v>15</v>
      </c>
      <c r="C52" s="2" t="s">
        <v>23</v>
      </c>
      <c r="D52" s="2" t="n">
        <v>5019</v>
      </c>
      <c r="E52" s="2" t="n">
        <v>6908</v>
      </c>
      <c r="F52" s="2" t="n">
        <v>201</v>
      </c>
      <c r="G52" s="2" t="n">
        <v>16</v>
      </c>
      <c r="H52" s="2" t="n">
        <v>71</v>
      </c>
      <c r="I52" s="2" t="n">
        <v>18</v>
      </c>
      <c r="J52" s="2" t="n">
        <f aca="false">F52+G52+H52</f>
        <v>288</v>
      </c>
      <c r="K52" s="3" t="n">
        <f aca="false">J52/D52</f>
        <v>0.0573819485953377</v>
      </c>
    </row>
    <row r="53" customFormat="false" ht="15" hidden="false" customHeight="false" outlineLevel="0" collapsed="false">
      <c r="A53" s="2" t="s">
        <v>54</v>
      </c>
      <c r="B53" s="2" t="s">
        <v>15</v>
      </c>
      <c r="C53" s="2" t="s">
        <v>18</v>
      </c>
      <c r="D53" s="2" t="n">
        <v>1905</v>
      </c>
      <c r="E53" s="2" t="n">
        <v>2389</v>
      </c>
      <c r="F53" s="2" t="n">
        <v>84</v>
      </c>
      <c r="G53" s="2" t="n">
        <v>17</v>
      </c>
      <c r="H53" s="2" t="n">
        <v>24</v>
      </c>
      <c r="I53" s="2" t="n">
        <v>3</v>
      </c>
      <c r="J53" s="2" t="n">
        <f aca="false">F53+G53+H53</f>
        <v>125</v>
      </c>
      <c r="K53" s="3" t="n">
        <f aca="false">J53/D53</f>
        <v>0.0656167979002625</v>
      </c>
    </row>
    <row r="54" customFormat="false" ht="15" hidden="false" customHeight="false" outlineLevel="0" collapsed="false">
      <c r="A54" s="2" t="s">
        <v>55</v>
      </c>
      <c r="B54" s="2" t="s">
        <v>19</v>
      </c>
      <c r="C54" s="2" t="s">
        <v>18</v>
      </c>
      <c r="D54" s="2" t="n">
        <v>2157</v>
      </c>
      <c r="E54" s="2" t="n">
        <v>2727</v>
      </c>
      <c r="F54" s="2" t="n">
        <v>100</v>
      </c>
      <c r="G54" s="2" t="n">
        <v>17</v>
      </c>
      <c r="H54" s="2" t="n">
        <v>38</v>
      </c>
      <c r="I54" s="2" t="n">
        <v>3</v>
      </c>
      <c r="J54" s="2" t="n">
        <f aca="false">F54+G54+H54</f>
        <v>155</v>
      </c>
      <c r="K54" s="3" t="n">
        <f aca="false">J54/D54</f>
        <v>0.07185906351414</v>
      </c>
    </row>
    <row r="55" customFormat="false" ht="15" hidden="false" customHeight="false" outlineLevel="0" collapsed="false">
      <c r="A55" s="2" t="s">
        <v>56</v>
      </c>
      <c r="B55" s="2" t="s">
        <v>12</v>
      </c>
      <c r="C55" s="2" t="s">
        <v>18</v>
      </c>
      <c r="D55" s="2" t="n">
        <v>1671</v>
      </c>
      <c r="E55" s="2" t="n">
        <v>2430</v>
      </c>
      <c r="F55" s="2" t="n">
        <v>45</v>
      </c>
      <c r="G55" s="2" t="n">
        <v>6</v>
      </c>
      <c r="H55" s="2" t="n">
        <v>16</v>
      </c>
      <c r="I55" s="2" t="n">
        <v>3</v>
      </c>
      <c r="J55" s="2" t="n">
        <f aca="false">F55+G55+H55</f>
        <v>67</v>
      </c>
      <c r="K55" s="3" t="n">
        <f aca="false">J55/D55</f>
        <v>0.0400957510472771</v>
      </c>
    </row>
    <row r="56" customFormat="false" ht="15" hidden="false" customHeight="false" outlineLevel="0" collapsed="false">
      <c r="A56" s="2" t="s">
        <v>57</v>
      </c>
      <c r="B56" s="2" t="s">
        <v>15</v>
      </c>
      <c r="C56" s="2" t="s">
        <v>13</v>
      </c>
      <c r="D56" s="2" t="n">
        <v>4543</v>
      </c>
      <c r="E56" s="2" t="n">
        <v>6163</v>
      </c>
      <c r="F56" s="2" t="n">
        <v>262</v>
      </c>
      <c r="G56" s="2" t="n">
        <v>33</v>
      </c>
      <c r="H56" s="2" t="n">
        <v>57</v>
      </c>
      <c r="I56" s="2" t="n">
        <v>13</v>
      </c>
      <c r="J56" s="2" t="n">
        <f aca="false">F56+G56+H56</f>
        <v>352</v>
      </c>
      <c r="K56" s="3" t="n">
        <f aca="false">J56/D56</f>
        <v>0.0774818401937046</v>
      </c>
    </row>
    <row r="57" customFormat="false" ht="15" hidden="false" customHeight="false" outlineLevel="0" collapsed="false">
      <c r="A57" s="2" t="s">
        <v>57</v>
      </c>
      <c r="B57" s="2" t="s">
        <v>15</v>
      </c>
      <c r="C57" s="2" t="s">
        <v>18</v>
      </c>
      <c r="D57" s="2" t="n">
        <v>4174</v>
      </c>
      <c r="E57" s="2" t="n">
        <v>4940</v>
      </c>
      <c r="F57" s="2" t="n">
        <v>78</v>
      </c>
      <c r="G57" s="2" t="n">
        <v>8</v>
      </c>
      <c r="H57" s="2" t="n">
        <v>24</v>
      </c>
      <c r="I57" s="2" t="n">
        <v>5</v>
      </c>
      <c r="J57" s="2" t="n">
        <f aca="false">F57+G57+H57</f>
        <v>110</v>
      </c>
      <c r="K57" s="3" t="n">
        <f aca="false">J57/D57</f>
        <v>0.026353617632966</v>
      </c>
    </row>
    <row r="58" customFormat="false" ht="15" hidden="false" customHeight="false" outlineLevel="0" collapsed="false">
      <c r="A58" s="2" t="s">
        <v>58</v>
      </c>
      <c r="B58" s="2" t="s">
        <v>22</v>
      </c>
      <c r="C58" s="2" t="s">
        <v>23</v>
      </c>
      <c r="D58" s="2" t="n">
        <v>3578</v>
      </c>
      <c r="E58" s="2" t="n">
        <v>4155</v>
      </c>
      <c r="F58" s="2" t="n">
        <v>49</v>
      </c>
      <c r="G58" s="2" t="n">
        <v>7</v>
      </c>
      <c r="H58" s="2" t="n">
        <v>16</v>
      </c>
      <c r="I58" s="2" t="n">
        <v>3</v>
      </c>
      <c r="J58" s="2" t="n">
        <f aca="false">F58+G58+H58</f>
        <v>72</v>
      </c>
      <c r="K58" s="3" t="n">
        <f aca="false">J58/D58</f>
        <v>0.0201229737283399</v>
      </c>
    </row>
    <row r="59" customFormat="false" ht="15" hidden="false" customHeight="false" outlineLevel="0" collapsed="false">
      <c r="A59" s="2" t="s">
        <v>59</v>
      </c>
      <c r="B59" s="2" t="s">
        <v>15</v>
      </c>
      <c r="C59" s="2" t="s">
        <v>20</v>
      </c>
      <c r="D59" s="2" t="n">
        <v>3311</v>
      </c>
      <c r="E59" s="2" t="n">
        <v>3810</v>
      </c>
      <c r="F59" s="2" t="n">
        <v>174</v>
      </c>
      <c r="G59" s="2" t="n">
        <v>15</v>
      </c>
      <c r="H59" s="2" t="n">
        <v>51</v>
      </c>
      <c r="I59" s="2" t="n">
        <v>18</v>
      </c>
      <c r="J59" s="2" t="n">
        <f aca="false">F59+G59+H59</f>
        <v>240</v>
      </c>
      <c r="K59" s="3" t="n">
        <f aca="false">J59/D59</f>
        <v>0.0724856538810027</v>
      </c>
    </row>
    <row r="60" customFormat="false" ht="15" hidden="false" customHeight="false" outlineLevel="0" collapsed="false">
      <c r="A60" s="2" t="s">
        <v>60</v>
      </c>
      <c r="B60" s="2" t="s">
        <v>22</v>
      </c>
      <c r="C60" s="2" t="s">
        <v>16</v>
      </c>
      <c r="D60" s="2" t="n">
        <v>4617</v>
      </c>
      <c r="E60" s="2" t="n">
        <v>6880</v>
      </c>
      <c r="F60" s="2" t="n">
        <v>236</v>
      </c>
      <c r="G60" s="2" t="n">
        <v>20</v>
      </c>
      <c r="H60" s="2" t="n">
        <v>112</v>
      </c>
      <c r="I60" s="2" t="n">
        <v>22</v>
      </c>
      <c r="J60" s="2" t="n">
        <f aca="false">F60+G60+H60</f>
        <v>368</v>
      </c>
      <c r="K60" s="3" t="n">
        <f aca="false">J60/D60</f>
        <v>0.0797054364305826</v>
      </c>
    </row>
    <row r="61" customFormat="false" ht="15" hidden="false" customHeight="false" outlineLevel="0" collapsed="false">
      <c r="A61" s="2" t="s">
        <v>61</v>
      </c>
      <c r="B61" s="2" t="s">
        <v>22</v>
      </c>
      <c r="C61" s="2" t="s">
        <v>20</v>
      </c>
      <c r="D61" s="2" t="n">
        <v>3700</v>
      </c>
      <c r="E61" s="2" t="n">
        <v>4571</v>
      </c>
      <c r="F61" s="2" t="n">
        <v>127</v>
      </c>
      <c r="G61" s="2" t="n">
        <v>24</v>
      </c>
      <c r="H61" s="2" t="n">
        <v>20</v>
      </c>
      <c r="I61" s="2" t="n">
        <v>12</v>
      </c>
      <c r="J61" s="2" t="n">
        <f aca="false">F61+G61+H61</f>
        <v>171</v>
      </c>
      <c r="K61" s="3" t="n">
        <f aca="false">J61/D61</f>
        <v>0.0462162162162162</v>
      </c>
    </row>
    <row r="62" customFormat="false" ht="15" hidden="false" customHeight="false" outlineLevel="0" collapsed="false">
      <c r="A62" s="2" t="s">
        <v>61</v>
      </c>
      <c r="B62" s="2" t="s">
        <v>19</v>
      </c>
      <c r="C62" s="2" t="s">
        <v>16</v>
      </c>
      <c r="D62" s="2" t="n">
        <v>877</v>
      </c>
      <c r="E62" s="2" t="n">
        <v>1028</v>
      </c>
      <c r="F62" s="2" t="n">
        <v>41</v>
      </c>
      <c r="G62" s="2" t="n">
        <v>8</v>
      </c>
      <c r="H62" s="2" t="n">
        <v>13</v>
      </c>
      <c r="I62" s="2" t="n">
        <v>4</v>
      </c>
      <c r="J62" s="2" t="n">
        <f aca="false">F62+G62+H62</f>
        <v>62</v>
      </c>
      <c r="K62" s="3" t="n">
        <f aca="false">J62/D62</f>
        <v>0.0706955530216648</v>
      </c>
    </row>
    <row r="63" customFormat="false" ht="15" hidden="false" customHeight="false" outlineLevel="0" collapsed="false">
      <c r="A63" s="2" t="s">
        <v>61</v>
      </c>
      <c r="B63" s="2" t="s">
        <v>15</v>
      </c>
      <c r="C63" s="2" t="s">
        <v>13</v>
      </c>
      <c r="D63" s="2" t="n">
        <v>3626</v>
      </c>
      <c r="E63" s="2" t="n">
        <v>5658</v>
      </c>
      <c r="F63" s="2" t="n">
        <v>133</v>
      </c>
      <c r="G63" s="2" t="n">
        <v>19</v>
      </c>
      <c r="H63" s="2" t="n">
        <v>60</v>
      </c>
      <c r="I63" s="2" t="n">
        <v>8</v>
      </c>
      <c r="J63" s="2" t="n">
        <f aca="false">F63+G63+H63</f>
        <v>212</v>
      </c>
      <c r="K63" s="3" t="n">
        <f aca="false">J63/D63</f>
        <v>0.0584666298952013</v>
      </c>
    </row>
    <row r="64" customFormat="false" ht="15" hidden="false" customHeight="false" outlineLevel="0" collapsed="false">
      <c r="A64" s="2" t="s">
        <v>62</v>
      </c>
      <c r="B64" s="2" t="s">
        <v>12</v>
      </c>
      <c r="C64" s="2" t="s">
        <v>23</v>
      </c>
      <c r="D64" s="2" t="n">
        <v>1303</v>
      </c>
      <c r="E64" s="2" t="n">
        <v>1825</v>
      </c>
      <c r="F64" s="2" t="n">
        <v>39</v>
      </c>
      <c r="G64" s="2" t="n">
        <v>4</v>
      </c>
      <c r="H64" s="2" t="n">
        <v>19</v>
      </c>
      <c r="I64" s="2" t="n">
        <v>2</v>
      </c>
      <c r="J64" s="2" t="n">
        <f aca="false">F64+G64+H64</f>
        <v>62</v>
      </c>
      <c r="K64" s="3" t="n">
        <f aca="false">J64/D64</f>
        <v>0.0475825019186493</v>
      </c>
    </row>
    <row r="65" customFormat="false" ht="15" hidden="false" customHeight="false" outlineLevel="0" collapsed="false">
      <c r="A65" s="2" t="s">
        <v>62</v>
      </c>
      <c r="B65" s="2" t="s">
        <v>26</v>
      </c>
      <c r="C65" s="2" t="s">
        <v>23</v>
      </c>
      <c r="D65" s="2" t="n">
        <v>4705</v>
      </c>
      <c r="E65" s="2" t="n">
        <v>6576</v>
      </c>
      <c r="F65" s="2" t="n">
        <v>158</v>
      </c>
      <c r="G65" s="2" t="n">
        <v>31</v>
      </c>
      <c r="H65" s="2" t="n">
        <v>54</v>
      </c>
      <c r="I65" s="2" t="n">
        <v>11</v>
      </c>
      <c r="J65" s="2" t="n">
        <f aca="false">F65+G65+H65</f>
        <v>243</v>
      </c>
      <c r="K65" s="3" t="n">
        <f aca="false">J65/D65</f>
        <v>0.0516471838469713</v>
      </c>
    </row>
    <row r="66" customFormat="false" ht="15" hidden="false" customHeight="false" outlineLevel="0" collapsed="false">
      <c r="A66" s="2" t="s">
        <v>63</v>
      </c>
      <c r="B66" s="2" t="s">
        <v>15</v>
      </c>
      <c r="C66" s="2" t="s">
        <v>16</v>
      </c>
      <c r="D66" s="2" t="n">
        <v>5318</v>
      </c>
      <c r="E66" s="2" t="n">
        <v>6734</v>
      </c>
      <c r="F66" s="2" t="n">
        <v>233</v>
      </c>
      <c r="G66" s="2" t="n">
        <v>40</v>
      </c>
      <c r="H66" s="2" t="n">
        <v>45</v>
      </c>
      <c r="I66" s="2" t="n">
        <v>14</v>
      </c>
      <c r="J66" s="2" t="n">
        <f aca="false">F66+G66+H66</f>
        <v>318</v>
      </c>
      <c r="K66" s="3" t="n">
        <f aca="false">J66/D66</f>
        <v>0.0597969161338849</v>
      </c>
    </row>
    <row r="67" customFormat="false" ht="15" hidden="false" customHeight="false" outlineLevel="0" collapsed="false">
      <c r="A67" s="2" t="s">
        <v>64</v>
      </c>
      <c r="B67" s="2" t="s">
        <v>22</v>
      </c>
      <c r="C67" s="2" t="s">
        <v>20</v>
      </c>
      <c r="D67" s="2" t="n">
        <v>3083</v>
      </c>
      <c r="E67" s="2" t="n">
        <v>4589</v>
      </c>
      <c r="F67" s="2" t="n">
        <v>116</v>
      </c>
      <c r="G67" s="2" t="n">
        <v>15</v>
      </c>
      <c r="H67" s="2" t="n">
        <v>38</v>
      </c>
      <c r="I67" s="2" t="n">
        <v>10</v>
      </c>
      <c r="J67" s="2" t="n">
        <f aca="false">F67+G67+H67</f>
        <v>169</v>
      </c>
      <c r="K67" s="3" t="n">
        <f aca="false">J67/D67</f>
        <v>0.0548167369445345</v>
      </c>
    </row>
    <row r="68" customFormat="false" ht="15" hidden="false" customHeight="false" outlineLevel="0" collapsed="false">
      <c r="A68" s="2" t="s">
        <v>65</v>
      </c>
      <c r="B68" s="2" t="s">
        <v>26</v>
      </c>
      <c r="C68" s="2" t="s">
        <v>13</v>
      </c>
      <c r="D68" s="2" t="n">
        <v>6023</v>
      </c>
      <c r="E68" s="2" t="n">
        <v>8010</v>
      </c>
      <c r="F68" s="2" t="n">
        <v>229</v>
      </c>
      <c r="G68" s="2" t="n">
        <v>42</v>
      </c>
      <c r="H68" s="2" t="n">
        <v>37</v>
      </c>
      <c r="I68" s="2" t="n">
        <v>22</v>
      </c>
      <c r="J68" s="2" t="n">
        <f aca="false">F68+G68+H68</f>
        <v>308</v>
      </c>
      <c r="K68" s="3" t="n">
        <f aca="false">J68/D68</f>
        <v>0.0511373069898722</v>
      </c>
    </row>
    <row r="69" customFormat="false" ht="15" hidden="false" customHeight="false" outlineLevel="0" collapsed="false">
      <c r="A69" s="2" t="s">
        <v>65</v>
      </c>
      <c r="B69" s="2" t="s">
        <v>15</v>
      </c>
      <c r="C69" s="2" t="s">
        <v>13</v>
      </c>
      <c r="D69" s="2" t="n">
        <v>5513</v>
      </c>
      <c r="E69" s="2" t="n">
        <v>7395</v>
      </c>
      <c r="F69" s="2" t="n">
        <v>292</v>
      </c>
      <c r="G69" s="2" t="n">
        <v>59</v>
      </c>
      <c r="H69" s="2" t="n">
        <v>54</v>
      </c>
      <c r="I69" s="2" t="n">
        <v>20</v>
      </c>
      <c r="J69" s="2" t="n">
        <f aca="false">F69+G69+H69</f>
        <v>405</v>
      </c>
      <c r="K69" s="3" t="n">
        <f aca="false">J69/D69</f>
        <v>0.0734627244694359</v>
      </c>
    </row>
    <row r="70" customFormat="false" ht="15" hidden="false" customHeight="false" outlineLevel="0" collapsed="false">
      <c r="A70" s="2" t="s">
        <v>66</v>
      </c>
      <c r="B70" s="2" t="s">
        <v>26</v>
      </c>
      <c r="C70" s="2" t="s">
        <v>16</v>
      </c>
      <c r="D70" s="2" t="n">
        <v>9837</v>
      </c>
      <c r="E70" s="2" t="n">
        <v>12412</v>
      </c>
      <c r="F70" s="2" t="n">
        <v>169</v>
      </c>
      <c r="G70" s="2" t="n">
        <v>28</v>
      </c>
      <c r="H70" s="2" t="n">
        <v>75</v>
      </c>
      <c r="I70" s="2" t="n">
        <v>17</v>
      </c>
      <c r="J70" s="2" t="n">
        <f aca="false">F70+G70+H70</f>
        <v>272</v>
      </c>
      <c r="K70" s="3" t="n">
        <f aca="false">J70/D70</f>
        <v>0.0276507065162143</v>
      </c>
    </row>
    <row r="71" customFormat="false" ht="15" hidden="false" customHeight="false" outlineLevel="0" collapsed="false">
      <c r="A71" s="2" t="s">
        <v>66</v>
      </c>
      <c r="B71" s="2" t="s">
        <v>26</v>
      </c>
      <c r="C71" s="2" t="s">
        <v>23</v>
      </c>
      <c r="D71" s="2" t="n">
        <v>1630</v>
      </c>
      <c r="E71" s="2" t="n">
        <v>1937</v>
      </c>
      <c r="F71" s="2" t="n">
        <v>73</v>
      </c>
      <c r="G71" s="2" t="n">
        <v>8</v>
      </c>
      <c r="H71" s="2" t="n">
        <v>40</v>
      </c>
      <c r="I71" s="2" t="n">
        <v>7</v>
      </c>
      <c r="J71" s="2" t="n">
        <f aca="false">F71+G71+H71</f>
        <v>121</v>
      </c>
      <c r="K71" s="3" t="n">
        <f aca="false">J71/D71</f>
        <v>0.0742331288343558</v>
      </c>
    </row>
    <row r="72" customFormat="false" ht="15" hidden="false" customHeight="false" outlineLevel="0" collapsed="false">
      <c r="A72" s="2" t="s">
        <v>66</v>
      </c>
      <c r="B72" s="2" t="s">
        <v>15</v>
      </c>
      <c r="C72" s="2" t="s">
        <v>20</v>
      </c>
      <c r="D72" s="2" t="n">
        <v>6454</v>
      </c>
      <c r="E72" s="2" t="n">
        <v>8956</v>
      </c>
      <c r="F72" s="2" t="n">
        <v>234</v>
      </c>
      <c r="G72" s="2" t="n">
        <v>20</v>
      </c>
      <c r="H72" s="2" t="n">
        <v>73</v>
      </c>
      <c r="I72" s="2" t="n">
        <v>12</v>
      </c>
      <c r="J72" s="2" t="n">
        <f aca="false">F72+G72+H72</f>
        <v>327</v>
      </c>
      <c r="K72" s="3" t="n">
        <f aca="false">J72/D72</f>
        <v>0.0506662534862101</v>
      </c>
    </row>
    <row r="73" customFormat="false" ht="15" hidden="false" customHeight="false" outlineLevel="0" collapsed="false">
      <c r="A73" s="2" t="s">
        <v>67</v>
      </c>
      <c r="B73" s="2" t="s">
        <v>12</v>
      </c>
      <c r="C73" s="2" t="s">
        <v>13</v>
      </c>
      <c r="D73" s="2" t="n">
        <v>1381</v>
      </c>
      <c r="E73" s="2" t="n">
        <v>1595</v>
      </c>
      <c r="F73" s="2" t="n">
        <v>38</v>
      </c>
      <c r="G73" s="2" t="n">
        <v>8</v>
      </c>
      <c r="H73" s="2" t="n">
        <v>11</v>
      </c>
      <c r="I73" s="2" t="n">
        <v>3</v>
      </c>
      <c r="J73" s="2" t="n">
        <f aca="false">F73+G73+H73</f>
        <v>57</v>
      </c>
      <c r="K73" s="3" t="n">
        <f aca="false">J73/D73</f>
        <v>0.0412744388124547</v>
      </c>
    </row>
    <row r="74" customFormat="false" ht="15" hidden="false" customHeight="false" outlineLevel="0" collapsed="false">
      <c r="A74" s="2" t="s">
        <v>68</v>
      </c>
      <c r="B74" s="2" t="s">
        <v>15</v>
      </c>
      <c r="C74" s="2" t="s">
        <v>23</v>
      </c>
      <c r="D74" s="2" t="n">
        <v>4000</v>
      </c>
      <c r="E74" s="2" t="n">
        <v>4639</v>
      </c>
      <c r="F74" s="2" t="n">
        <v>154</v>
      </c>
      <c r="G74" s="2" t="n">
        <v>20</v>
      </c>
      <c r="H74" s="2" t="n">
        <v>46</v>
      </c>
      <c r="I74" s="2" t="n">
        <v>8</v>
      </c>
      <c r="J74" s="2" t="n">
        <f aca="false">F74+G74+H74</f>
        <v>220</v>
      </c>
      <c r="K74" s="3" t="n">
        <f aca="false">J74/D74</f>
        <v>0.055</v>
      </c>
    </row>
    <row r="75" customFormat="false" ht="15" hidden="false" customHeight="false" outlineLevel="0" collapsed="false">
      <c r="A75" s="2" t="s">
        <v>69</v>
      </c>
      <c r="B75" s="2" t="s">
        <v>22</v>
      </c>
      <c r="C75" s="2" t="s">
        <v>23</v>
      </c>
      <c r="D75" s="2" t="n">
        <v>1926</v>
      </c>
      <c r="E75" s="2" t="n">
        <v>2529</v>
      </c>
      <c r="F75" s="2" t="n">
        <v>55</v>
      </c>
      <c r="G75" s="2" t="n">
        <v>7</v>
      </c>
      <c r="H75" s="2" t="n">
        <v>30</v>
      </c>
      <c r="I75" s="2" t="n">
        <v>7</v>
      </c>
      <c r="J75" s="2" t="n">
        <f aca="false">F75+G75+H75</f>
        <v>92</v>
      </c>
      <c r="K75" s="3" t="n">
        <f aca="false">J75/D75</f>
        <v>0.0477673935617861</v>
      </c>
    </row>
    <row r="76" customFormat="false" ht="15" hidden="false" customHeight="false" outlineLevel="0" collapsed="false">
      <c r="A76" s="2" t="s">
        <v>70</v>
      </c>
      <c r="B76" s="2" t="s">
        <v>15</v>
      </c>
      <c r="C76" s="2" t="s">
        <v>18</v>
      </c>
      <c r="D76" s="2" t="n">
        <v>4498</v>
      </c>
      <c r="E76" s="2" t="n">
        <v>6712</v>
      </c>
      <c r="F76" s="2" t="n">
        <v>136</v>
      </c>
      <c r="G76" s="2" t="n">
        <v>18</v>
      </c>
      <c r="H76" s="2" t="n">
        <v>29</v>
      </c>
      <c r="I76" s="2" t="n">
        <v>6</v>
      </c>
      <c r="J76" s="2" t="n">
        <f aca="false">F76+G76+H76</f>
        <v>183</v>
      </c>
      <c r="K76" s="3" t="n">
        <f aca="false">J76/D76</f>
        <v>0.0406847487772343</v>
      </c>
    </row>
    <row r="77" customFormat="false" ht="15" hidden="false" customHeight="false" outlineLevel="0" collapsed="false">
      <c r="A77" s="2" t="s">
        <v>71</v>
      </c>
      <c r="B77" s="2" t="s">
        <v>12</v>
      </c>
      <c r="C77" s="2" t="s">
        <v>16</v>
      </c>
      <c r="D77" s="2" t="n">
        <v>1944</v>
      </c>
      <c r="E77" s="2" t="n">
        <v>2364</v>
      </c>
      <c r="F77" s="2" t="n">
        <v>58</v>
      </c>
      <c r="G77" s="2" t="n">
        <v>14</v>
      </c>
      <c r="H77" s="2" t="n">
        <v>20</v>
      </c>
      <c r="I77" s="2" t="n">
        <v>3</v>
      </c>
      <c r="J77" s="2" t="n">
        <f aca="false">F77+G77+H77</f>
        <v>92</v>
      </c>
      <c r="K77" s="3" t="n">
        <f aca="false">J77/D77</f>
        <v>0.0473251028806584</v>
      </c>
    </row>
    <row r="78" customFormat="false" ht="15" hidden="false" customHeight="false" outlineLevel="0" collapsed="false">
      <c r="A78" s="2" t="s">
        <v>72</v>
      </c>
      <c r="B78" s="2" t="s">
        <v>22</v>
      </c>
      <c r="C78" s="2" t="s">
        <v>20</v>
      </c>
      <c r="D78" s="2" t="n">
        <v>2349</v>
      </c>
      <c r="E78" s="2" t="n">
        <v>3686</v>
      </c>
      <c r="F78" s="2" t="n">
        <v>63</v>
      </c>
      <c r="G78" s="2" t="n">
        <v>15</v>
      </c>
      <c r="H78" s="2" t="n">
        <v>23</v>
      </c>
      <c r="I78" s="2" t="n">
        <v>7</v>
      </c>
      <c r="J78" s="2" t="n">
        <f aca="false">F78+G78+H78</f>
        <v>101</v>
      </c>
      <c r="K78" s="3" t="n">
        <f aca="false">J78/D78</f>
        <v>0.0429970200085143</v>
      </c>
    </row>
    <row r="79" customFormat="false" ht="15" hidden="false" customHeight="false" outlineLevel="0" collapsed="false">
      <c r="A79" s="2" t="s">
        <v>73</v>
      </c>
      <c r="B79" s="2" t="s">
        <v>22</v>
      </c>
      <c r="C79" s="2" t="s">
        <v>20</v>
      </c>
      <c r="D79" s="2" t="n">
        <v>50</v>
      </c>
      <c r="E79" s="2" t="n">
        <v>80</v>
      </c>
      <c r="F79" s="2" t="n">
        <v>2</v>
      </c>
      <c r="G79" s="2" t="n">
        <v>0</v>
      </c>
      <c r="H79" s="2" t="n">
        <v>1</v>
      </c>
      <c r="I79" s="2" t="n">
        <v>0</v>
      </c>
      <c r="J79" s="2" t="n">
        <f aca="false">F79+G79+H79</f>
        <v>3</v>
      </c>
      <c r="K79" s="3" t="n">
        <f aca="false">J79/D79</f>
        <v>0.06</v>
      </c>
    </row>
    <row r="80" customFormat="false" ht="15" hidden="false" customHeight="false" outlineLevel="0" collapsed="false">
      <c r="A80" s="2" t="s">
        <v>73</v>
      </c>
      <c r="B80" s="2" t="s">
        <v>22</v>
      </c>
      <c r="C80" s="2" t="s">
        <v>13</v>
      </c>
      <c r="D80" s="2" t="n">
        <v>1224</v>
      </c>
      <c r="E80" s="2" t="n">
        <v>1617</v>
      </c>
      <c r="F80" s="2" t="n">
        <v>58</v>
      </c>
      <c r="G80" s="2" t="n">
        <v>12</v>
      </c>
      <c r="H80" s="2" t="n">
        <v>20</v>
      </c>
      <c r="I80" s="2" t="n">
        <v>2</v>
      </c>
      <c r="J80" s="2" t="n">
        <f aca="false">F80+G80+H80</f>
        <v>90</v>
      </c>
      <c r="K80" s="3" t="n">
        <f aca="false">J80/D80</f>
        <v>0.0735294117647059</v>
      </c>
    </row>
    <row r="81" customFormat="false" ht="15" hidden="false" customHeight="false" outlineLevel="0" collapsed="false">
      <c r="A81" s="2" t="s">
        <v>74</v>
      </c>
      <c r="B81" s="2" t="s">
        <v>22</v>
      </c>
      <c r="C81" s="2" t="s">
        <v>20</v>
      </c>
      <c r="D81" s="2" t="n">
        <v>2106</v>
      </c>
      <c r="E81" s="2" t="n">
        <v>2767</v>
      </c>
      <c r="F81" s="2" t="n">
        <v>105</v>
      </c>
      <c r="G81" s="2" t="n">
        <v>16</v>
      </c>
      <c r="H81" s="2" t="n">
        <v>53</v>
      </c>
      <c r="I81" s="2" t="n">
        <v>12</v>
      </c>
      <c r="J81" s="2" t="n">
        <f aca="false">F81+G81+H81</f>
        <v>174</v>
      </c>
      <c r="K81" s="3" t="n">
        <f aca="false">J81/D81</f>
        <v>0.0826210826210826</v>
      </c>
    </row>
    <row r="82" customFormat="false" ht="15" hidden="false" customHeight="false" outlineLevel="0" collapsed="false">
      <c r="A82" s="2" t="s">
        <v>75</v>
      </c>
      <c r="B82" s="2" t="s">
        <v>15</v>
      </c>
      <c r="C82" s="2" t="s">
        <v>13</v>
      </c>
      <c r="D82" s="2" t="n">
        <v>4256</v>
      </c>
      <c r="E82" s="2" t="n">
        <v>6615</v>
      </c>
      <c r="F82" s="2" t="n">
        <v>119</v>
      </c>
      <c r="G82" s="2" t="n">
        <v>27</v>
      </c>
      <c r="H82" s="2" t="n">
        <v>40</v>
      </c>
      <c r="I82" s="2" t="n">
        <v>11</v>
      </c>
      <c r="J82" s="2" t="n">
        <f aca="false">F82+G82+H82</f>
        <v>186</v>
      </c>
      <c r="K82" s="3" t="n">
        <f aca="false">J82/D82</f>
        <v>0.043703007518797</v>
      </c>
    </row>
    <row r="83" customFormat="false" ht="15" hidden="false" customHeight="false" outlineLevel="0" collapsed="false">
      <c r="A83" s="2" t="s">
        <v>76</v>
      </c>
      <c r="B83" s="2" t="s">
        <v>15</v>
      </c>
      <c r="C83" s="2" t="s">
        <v>20</v>
      </c>
      <c r="D83" s="2" t="n">
        <v>6901</v>
      </c>
      <c r="E83" s="2" t="n">
        <v>8860</v>
      </c>
      <c r="F83" s="2" t="n">
        <v>336</v>
      </c>
      <c r="G83" s="2" t="n">
        <v>64</v>
      </c>
      <c r="H83" s="2" t="n">
        <v>87</v>
      </c>
      <c r="I83" s="2" t="n">
        <v>37</v>
      </c>
      <c r="J83" s="2" t="n">
        <f aca="false">F83+G83+H83</f>
        <v>487</v>
      </c>
      <c r="K83" s="3" t="n">
        <f aca="false">J83/D83</f>
        <v>0.070569482683669</v>
      </c>
    </row>
    <row r="84" customFormat="false" ht="15" hidden="false" customHeight="false" outlineLevel="0" collapsed="false">
      <c r="A84" s="2" t="s">
        <v>76</v>
      </c>
      <c r="B84" s="2" t="s">
        <v>15</v>
      </c>
      <c r="C84" s="2" t="s">
        <v>18</v>
      </c>
      <c r="D84" s="2" t="n">
        <v>6262</v>
      </c>
      <c r="E84" s="2" t="n">
        <v>8514</v>
      </c>
      <c r="F84" s="2" t="n">
        <v>335</v>
      </c>
      <c r="G84" s="2" t="n">
        <v>66</v>
      </c>
      <c r="H84" s="2" t="n">
        <v>65</v>
      </c>
      <c r="I84" s="2" t="n">
        <v>32</v>
      </c>
      <c r="J84" s="2" t="n">
        <f aca="false">F84+G84+H84</f>
        <v>466</v>
      </c>
      <c r="K84" s="3" t="n">
        <f aca="false">J84/D84</f>
        <v>0.074417119131268</v>
      </c>
    </row>
    <row r="85" customFormat="false" ht="15" hidden="false" customHeight="false" outlineLevel="0" collapsed="false">
      <c r="A85" s="2" t="s">
        <v>77</v>
      </c>
      <c r="B85" s="2" t="s">
        <v>15</v>
      </c>
      <c r="C85" s="2" t="s">
        <v>20</v>
      </c>
      <c r="D85" s="2" t="n">
        <v>5881</v>
      </c>
      <c r="E85" s="2" t="n">
        <v>8941</v>
      </c>
      <c r="F85" s="2" t="n">
        <v>301</v>
      </c>
      <c r="G85" s="2" t="n">
        <v>36</v>
      </c>
      <c r="H85" s="2" t="n">
        <v>99</v>
      </c>
      <c r="I85" s="2" t="n">
        <v>17</v>
      </c>
      <c r="J85" s="2" t="n">
        <f aca="false">F85+G85+H85</f>
        <v>436</v>
      </c>
      <c r="K85" s="3" t="n">
        <f aca="false">J85/D85</f>
        <v>0.07413705152185</v>
      </c>
    </row>
    <row r="86" customFormat="false" ht="15" hidden="false" customHeight="false" outlineLevel="0" collapsed="false">
      <c r="A86" s="2" t="s">
        <v>78</v>
      </c>
      <c r="B86" s="2" t="s">
        <v>15</v>
      </c>
      <c r="C86" s="2" t="s">
        <v>18</v>
      </c>
      <c r="D86" s="2" t="n">
        <v>3666</v>
      </c>
      <c r="E86" s="2" t="n">
        <v>4889</v>
      </c>
      <c r="F86" s="2" t="n">
        <v>161</v>
      </c>
      <c r="G86" s="2" t="n">
        <v>25</v>
      </c>
      <c r="H86" s="2" t="n">
        <v>54</v>
      </c>
      <c r="I86" s="2" t="n">
        <v>7</v>
      </c>
      <c r="J86" s="2" t="n">
        <f aca="false">F86+G86+H86</f>
        <v>240</v>
      </c>
      <c r="K86" s="3" t="n">
        <f aca="false">J86/D86</f>
        <v>0.0654664484451719</v>
      </c>
    </row>
    <row r="87" customFormat="false" ht="15" hidden="false" customHeight="false" outlineLevel="0" collapsed="false">
      <c r="A87" s="2" t="s">
        <v>78</v>
      </c>
      <c r="B87" s="2" t="s">
        <v>22</v>
      </c>
      <c r="C87" s="2" t="s">
        <v>13</v>
      </c>
      <c r="D87" s="2" t="n">
        <v>3056</v>
      </c>
      <c r="E87" s="2" t="n">
        <v>4873</v>
      </c>
      <c r="F87" s="2" t="n">
        <v>72</v>
      </c>
      <c r="G87" s="2" t="n">
        <v>7</v>
      </c>
      <c r="H87" s="2" t="n">
        <v>39</v>
      </c>
      <c r="I87" s="2" t="n">
        <v>6</v>
      </c>
      <c r="J87" s="2" t="n">
        <f aca="false">F87+G87+H87</f>
        <v>118</v>
      </c>
      <c r="K87" s="3" t="n">
        <f aca="false">J87/D87</f>
        <v>0.0386125654450262</v>
      </c>
    </row>
    <row r="88" customFormat="false" ht="15" hidden="false" customHeight="false" outlineLevel="0" collapsed="false">
      <c r="A88" s="2" t="s">
        <v>79</v>
      </c>
      <c r="B88" s="2" t="s">
        <v>22</v>
      </c>
      <c r="C88" s="2" t="s">
        <v>16</v>
      </c>
      <c r="D88" s="2" t="n">
        <v>3303</v>
      </c>
      <c r="E88" s="2" t="n">
        <v>4599</v>
      </c>
      <c r="F88" s="2" t="n">
        <v>175</v>
      </c>
      <c r="G88" s="2" t="n">
        <v>31</v>
      </c>
      <c r="H88" s="2" t="n">
        <v>39</v>
      </c>
      <c r="I88" s="2" t="n">
        <v>9</v>
      </c>
      <c r="J88" s="2" t="n">
        <f aca="false">F88+G88+H88</f>
        <v>245</v>
      </c>
      <c r="K88" s="3" t="n">
        <f aca="false">J88/D88</f>
        <v>0.0741749924311232</v>
      </c>
    </row>
    <row r="89" customFormat="false" ht="15" hidden="false" customHeight="false" outlineLevel="0" collapsed="false">
      <c r="A89" s="2" t="s">
        <v>80</v>
      </c>
      <c r="B89" s="2" t="s">
        <v>15</v>
      </c>
      <c r="C89" s="2" t="s">
        <v>20</v>
      </c>
      <c r="D89" s="2" t="n">
        <v>3732</v>
      </c>
      <c r="E89" s="2" t="n">
        <v>4626</v>
      </c>
      <c r="F89" s="2" t="n">
        <v>89</v>
      </c>
      <c r="G89" s="2" t="n">
        <v>9</v>
      </c>
      <c r="H89" s="2" t="n">
        <v>41</v>
      </c>
      <c r="I89" s="2" t="n">
        <v>10</v>
      </c>
      <c r="J89" s="2" t="n">
        <f aca="false">F89+G89+H89</f>
        <v>139</v>
      </c>
      <c r="K89" s="3" t="n">
        <f aca="false">J89/D89</f>
        <v>0.0372454448017149</v>
      </c>
    </row>
    <row r="90" customFormat="false" ht="15" hidden="false" customHeight="false" outlineLevel="0" collapsed="false">
      <c r="A90" s="2" t="s">
        <v>81</v>
      </c>
      <c r="B90" s="2" t="s">
        <v>26</v>
      </c>
      <c r="C90" s="2" t="s">
        <v>16</v>
      </c>
      <c r="D90" s="2" t="n">
        <v>3180</v>
      </c>
      <c r="E90" s="2" t="n">
        <v>3801</v>
      </c>
      <c r="F90" s="2" t="n">
        <v>101</v>
      </c>
      <c r="G90" s="2" t="n">
        <v>8</v>
      </c>
      <c r="H90" s="2" t="n">
        <v>58</v>
      </c>
      <c r="I90" s="2" t="n">
        <v>12</v>
      </c>
      <c r="J90" s="2" t="n">
        <f aca="false">F90+G90+H90</f>
        <v>167</v>
      </c>
      <c r="K90" s="3" t="n">
        <f aca="false">J90/D90</f>
        <v>0.0525157232704403</v>
      </c>
    </row>
    <row r="91" customFormat="false" ht="15" hidden="false" customHeight="false" outlineLevel="0" collapsed="false">
      <c r="A91" s="2" t="s">
        <v>82</v>
      </c>
      <c r="B91" s="2" t="s">
        <v>22</v>
      </c>
      <c r="C91" s="2" t="s">
        <v>20</v>
      </c>
      <c r="D91" s="2" t="n">
        <v>2526</v>
      </c>
      <c r="E91" s="2" t="n">
        <v>3170</v>
      </c>
      <c r="F91" s="2" t="n">
        <v>41</v>
      </c>
      <c r="G91" s="2" t="n">
        <v>8</v>
      </c>
      <c r="H91" s="2" t="n">
        <v>10</v>
      </c>
      <c r="I91" s="2" t="n">
        <v>2</v>
      </c>
      <c r="J91" s="2" t="n">
        <f aca="false">F91+G91+H91</f>
        <v>59</v>
      </c>
      <c r="K91" s="3" t="n">
        <f aca="false">J91/D91</f>
        <v>0.0233570863024545</v>
      </c>
    </row>
    <row r="92" customFormat="false" ht="15" hidden="false" customHeight="false" outlineLevel="0" collapsed="false">
      <c r="A92" s="2" t="s">
        <v>83</v>
      </c>
      <c r="B92" s="2" t="s">
        <v>15</v>
      </c>
      <c r="C92" s="2" t="s">
        <v>16</v>
      </c>
      <c r="D92" s="2" t="n">
        <v>4283</v>
      </c>
      <c r="E92" s="2" t="n">
        <v>6748</v>
      </c>
      <c r="F92" s="2" t="n">
        <v>81</v>
      </c>
      <c r="G92" s="2" t="n">
        <v>13</v>
      </c>
      <c r="H92" s="2" t="n">
        <v>23</v>
      </c>
      <c r="I92" s="2" t="n">
        <v>4</v>
      </c>
      <c r="J92" s="2" t="n">
        <f aca="false">F92+G92+H92</f>
        <v>117</v>
      </c>
      <c r="K92" s="3" t="n">
        <f aca="false">J92/D92</f>
        <v>0.0273173009572729</v>
      </c>
    </row>
    <row r="93" customFormat="false" ht="15" hidden="false" customHeight="false" outlineLevel="0" collapsed="false">
      <c r="A93" s="2" t="s">
        <v>84</v>
      </c>
      <c r="B93" s="2" t="s">
        <v>15</v>
      </c>
      <c r="C93" s="2" t="s">
        <v>20</v>
      </c>
      <c r="D93" s="2" t="n">
        <v>7149</v>
      </c>
      <c r="E93" s="2" t="n">
        <v>8344</v>
      </c>
      <c r="F93" s="2" t="n">
        <v>375</v>
      </c>
      <c r="G93" s="2" t="n">
        <v>67</v>
      </c>
      <c r="H93" s="2" t="n">
        <v>67</v>
      </c>
      <c r="I93" s="2" t="n">
        <v>35</v>
      </c>
      <c r="J93" s="2" t="n">
        <f aca="false">F93+G93+H93</f>
        <v>509</v>
      </c>
      <c r="K93" s="3" t="n">
        <f aca="false">J93/D93</f>
        <v>0.0711987690586096</v>
      </c>
    </row>
    <row r="94" customFormat="false" ht="15" hidden="false" customHeight="false" outlineLevel="0" collapsed="false">
      <c r="A94" s="2" t="s">
        <v>85</v>
      </c>
      <c r="B94" s="2" t="s">
        <v>19</v>
      </c>
      <c r="C94" s="2" t="s">
        <v>13</v>
      </c>
      <c r="D94" s="2" t="n">
        <v>2251</v>
      </c>
      <c r="E94" s="2" t="n">
        <v>3144</v>
      </c>
      <c r="F94" s="2" t="n">
        <v>34</v>
      </c>
      <c r="G94" s="2" t="n">
        <v>5</v>
      </c>
      <c r="H94" s="2" t="n">
        <v>16</v>
      </c>
      <c r="I94" s="2" t="n">
        <v>3</v>
      </c>
      <c r="J94" s="2" t="n">
        <f aca="false">F94+G94+H94</f>
        <v>55</v>
      </c>
      <c r="K94" s="3" t="n">
        <f aca="false">J94/D94</f>
        <v>0.0244335850733008</v>
      </c>
    </row>
    <row r="95" customFormat="false" ht="15" hidden="false" customHeight="false" outlineLevel="0" collapsed="false">
      <c r="A95" s="2" t="s">
        <v>86</v>
      </c>
      <c r="B95" s="2" t="s">
        <v>12</v>
      </c>
      <c r="C95" s="2" t="s">
        <v>23</v>
      </c>
      <c r="D95" s="2" t="n">
        <v>2539</v>
      </c>
      <c r="E95" s="2" t="n">
        <v>4049</v>
      </c>
      <c r="F95" s="2" t="n">
        <v>112</v>
      </c>
      <c r="G95" s="2" t="n">
        <v>9</v>
      </c>
      <c r="H95" s="2" t="n">
        <v>48</v>
      </c>
      <c r="I95" s="2" t="n">
        <v>11</v>
      </c>
      <c r="J95" s="2" t="n">
        <f aca="false">F95+G95+H95</f>
        <v>169</v>
      </c>
      <c r="K95" s="3" t="n">
        <f aca="false">J95/D95</f>
        <v>0.0665616384403308</v>
      </c>
    </row>
    <row r="96" customFormat="false" ht="15" hidden="false" customHeight="false" outlineLevel="0" collapsed="false">
      <c r="A96" s="2" t="s">
        <v>87</v>
      </c>
      <c r="B96" s="2" t="s">
        <v>12</v>
      </c>
      <c r="C96" s="2" t="s">
        <v>20</v>
      </c>
      <c r="D96" s="2" t="n">
        <v>1249</v>
      </c>
      <c r="E96" s="2" t="n">
        <v>1664</v>
      </c>
      <c r="F96" s="2" t="n">
        <v>71</v>
      </c>
      <c r="G96" s="2" t="n">
        <v>7</v>
      </c>
      <c r="H96" s="2" t="n">
        <v>29</v>
      </c>
      <c r="I96" s="2" t="n">
        <v>3</v>
      </c>
      <c r="J96" s="2" t="n">
        <f aca="false">F96+G96+H96</f>
        <v>107</v>
      </c>
      <c r="K96" s="3" t="n">
        <f aca="false">J96/D96</f>
        <v>0.0856685348278623</v>
      </c>
    </row>
    <row r="97" customFormat="false" ht="15" hidden="false" customHeight="false" outlineLevel="0" collapsed="false">
      <c r="A97" s="2" t="s">
        <v>88</v>
      </c>
      <c r="B97" s="2" t="s">
        <v>22</v>
      </c>
      <c r="C97" s="2" t="s">
        <v>18</v>
      </c>
      <c r="D97" s="2" t="n">
        <v>1999</v>
      </c>
      <c r="E97" s="2" t="n">
        <v>2416</v>
      </c>
      <c r="F97" s="2" t="n">
        <v>29</v>
      </c>
      <c r="G97" s="2" t="n">
        <v>6</v>
      </c>
      <c r="H97" s="2" t="n">
        <v>12</v>
      </c>
      <c r="I97" s="2" t="n">
        <v>2</v>
      </c>
      <c r="J97" s="2" t="n">
        <f aca="false">F97+G97+H97</f>
        <v>47</v>
      </c>
      <c r="K97" s="3" t="n">
        <f aca="false">J97/D97</f>
        <v>0.023511755877939</v>
      </c>
    </row>
    <row r="98" customFormat="false" ht="15" hidden="false" customHeight="false" outlineLevel="0" collapsed="false">
      <c r="A98" s="2" t="s">
        <v>89</v>
      </c>
      <c r="B98" s="2" t="s">
        <v>15</v>
      </c>
      <c r="C98" s="2" t="s">
        <v>18</v>
      </c>
      <c r="D98" s="2" t="n">
        <v>5119</v>
      </c>
      <c r="E98" s="2" t="n">
        <v>7017</v>
      </c>
      <c r="F98" s="2" t="n">
        <v>291</v>
      </c>
      <c r="G98" s="2" t="n">
        <v>27</v>
      </c>
      <c r="H98" s="2" t="n">
        <v>73</v>
      </c>
      <c r="I98" s="2" t="n">
        <v>11</v>
      </c>
      <c r="J98" s="2" t="n">
        <f aca="false">F98+G98+H98</f>
        <v>391</v>
      </c>
      <c r="K98" s="3" t="n">
        <f aca="false">J98/D98</f>
        <v>0.0763821058800547</v>
      </c>
    </row>
    <row r="99" customFormat="false" ht="15" hidden="false" customHeight="false" outlineLevel="0" collapsed="false">
      <c r="A99" s="2" t="s">
        <v>90</v>
      </c>
      <c r="B99" s="2" t="s">
        <v>26</v>
      </c>
      <c r="C99" s="2" t="s">
        <v>23</v>
      </c>
      <c r="D99" s="2" t="n">
        <v>5878</v>
      </c>
      <c r="E99" s="2" t="n">
        <v>6988</v>
      </c>
      <c r="F99" s="2" t="n">
        <v>289</v>
      </c>
      <c r="G99" s="2" t="n">
        <v>57</v>
      </c>
      <c r="H99" s="2" t="n">
        <v>65</v>
      </c>
      <c r="I99" s="2" t="n">
        <v>24</v>
      </c>
      <c r="J99" s="2" t="n">
        <f aca="false">F99+G99+H99</f>
        <v>411</v>
      </c>
      <c r="K99" s="3" t="n">
        <f aca="false">J99/D99</f>
        <v>0.069921742089146</v>
      </c>
    </row>
    <row r="100" customFormat="false" ht="15" hidden="false" customHeight="false" outlineLevel="0" collapsed="false">
      <c r="A100" s="2" t="s">
        <v>91</v>
      </c>
      <c r="B100" s="2" t="s">
        <v>19</v>
      </c>
      <c r="C100" s="2" t="s">
        <v>13</v>
      </c>
      <c r="D100" s="2" t="n">
        <v>1256</v>
      </c>
      <c r="E100" s="2" t="n">
        <v>1661</v>
      </c>
      <c r="F100" s="2" t="n">
        <v>23</v>
      </c>
      <c r="G100" s="2" t="n">
        <v>4</v>
      </c>
      <c r="H100" s="2" t="n">
        <v>9</v>
      </c>
      <c r="I100" s="2" t="n">
        <v>3</v>
      </c>
      <c r="J100" s="2" t="n">
        <f aca="false">F100+G100+H100</f>
        <v>36</v>
      </c>
      <c r="K100" s="3" t="n">
        <f aca="false">J100/D100</f>
        <v>0.0286624203821656</v>
      </c>
    </row>
    <row r="101" customFormat="false" ht="15" hidden="false" customHeight="false" outlineLevel="0" collapsed="false">
      <c r="A101" s="2" t="s">
        <v>92</v>
      </c>
      <c r="B101" s="2" t="s">
        <v>12</v>
      </c>
      <c r="C101" s="2" t="s">
        <v>13</v>
      </c>
      <c r="D101" s="2" t="n">
        <v>1986</v>
      </c>
      <c r="E101" s="2" t="n">
        <v>2881</v>
      </c>
      <c r="F101" s="2" t="n">
        <v>56</v>
      </c>
      <c r="G101" s="2" t="n">
        <v>8</v>
      </c>
      <c r="H101" s="2" t="n">
        <v>21</v>
      </c>
      <c r="I101" s="2" t="n">
        <v>6</v>
      </c>
      <c r="J101" s="2" t="n">
        <f aca="false">F101+G101+H101</f>
        <v>85</v>
      </c>
      <c r="K101" s="3" t="n">
        <f aca="false">J101/D101</f>
        <v>0.0427995971802618</v>
      </c>
    </row>
    <row r="102" customFormat="false" ht="15" hidden="false" customHeight="false" outlineLevel="0" collapsed="false">
      <c r="A102" s="2" t="s">
        <v>93</v>
      </c>
      <c r="B102" s="2" t="s">
        <v>22</v>
      </c>
      <c r="C102" s="2" t="s">
        <v>20</v>
      </c>
      <c r="D102" s="2" t="n">
        <v>1777</v>
      </c>
      <c r="E102" s="2" t="n">
        <v>2062</v>
      </c>
      <c r="F102" s="2" t="n">
        <v>76</v>
      </c>
      <c r="G102" s="2" t="n">
        <v>8</v>
      </c>
      <c r="H102" s="2" t="n">
        <v>29</v>
      </c>
      <c r="I102" s="2" t="n">
        <v>7</v>
      </c>
      <c r="J102" s="2" t="n">
        <f aca="false">F102+G102+H102</f>
        <v>113</v>
      </c>
      <c r="K102" s="3" t="n">
        <f aca="false">J102/D102</f>
        <v>0.0635903207653348</v>
      </c>
    </row>
    <row r="103" customFormat="false" ht="15" hidden="false" customHeight="false" outlineLevel="0" collapsed="false">
      <c r="A103" s="2" t="s">
        <v>94</v>
      </c>
      <c r="B103" s="2" t="s">
        <v>22</v>
      </c>
      <c r="C103" s="2" t="s">
        <v>13</v>
      </c>
      <c r="D103" s="2" t="n">
        <v>3096</v>
      </c>
      <c r="E103" s="2" t="n">
        <v>3654</v>
      </c>
      <c r="F103" s="2" t="n">
        <v>92</v>
      </c>
      <c r="G103" s="2" t="n">
        <v>18</v>
      </c>
      <c r="H103" s="2" t="n">
        <v>30</v>
      </c>
      <c r="I103" s="2" t="n">
        <v>7</v>
      </c>
      <c r="J103" s="2" t="n">
        <f aca="false">F103+G103+H103</f>
        <v>140</v>
      </c>
      <c r="K103" s="3" t="n">
        <f aca="false">J103/D103</f>
        <v>0.0452196382428941</v>
      </c>
    </row>
    <row r="104" customFormat="false" ht="15" hidden="false" customHeight="false" outlineLevel="0" collapsed="false">
      <c r="A104" s="2" t="s">
        <v>95</v>
      </c>
      <c r="B104" s="2" t="s">
        <v>26</v>
      </c>
      <c r="C104" s="2" t="s">
        <v>20</v>
      </c>
      <c r="D104" s="2" t="n">
        <v>8339</v>
      </c>
      <c r="E104" s="2" t="n">
        <v>9793</v>
      </c>
      <c r="F104" s="2" t="n">
        <v>303</v>
      </c>
      <c r="G104" s="2" t="n">
        <v>67</v>
      </c>
      <c r="H104" s="2" t="n">
        <v>91</v>
      </c>
      <c r="I104" s="2" t="n">
        <v>13</v>
      </c>
      <c r="J104" s="2" t="n">
        <f aca="false">F104+G104+H104</f>
        <v>461</v>
      </c>
      <c r="K104" s="3" t="n">
        <f aca="false">J104/D104</f>
        <v>0.0552824079625854</v>
      </c>
    </row>
    <row r="105" customFormat="false" ht="15" hidden="false" customHeight="false" outlineLevel="0" collapsed="false">
      <c r="A105" s="2" t="s">
        <v>96</v>
      </c>
      <c r="B105" s="2" t="s">
        <v>22</v>
      </c>
      <c r="C105" s="2" t="s">
        <v>18</v>
      </c>
      <c r="D105" s="2" t="n">
        <v>1979</v>
      </c>
      <c r="E105" s="2" t="n">
        <v>2887</v>
      </c>
      <c r="F105" s="2" t="n">
        <v>88</v>
      </c>
      <c r="G105" s="2" t="n">
        <v>19</v>
      </c>
      <c r="H105" s="2" t="n">
        <v>32</v>
      </c>
      <c r="I105" s="2" t="n">
        <v>8</v>
      </c>
      <c r="J105" s="2" t="n">
        <f aca="false">F105+G105+H105</f>
        <v>139</v>
      </c>
      <c r="K105" s="3" t="n">
        <f aca="false">J105/D105</f>
        <v>0.0702374936836786</v>
      </c>
    </row>
    <row r="106" customFormat="false" ht="15" hidden="false" customHeight="false" outlineLevel="0" collapsed="false">
      <c r="A106" s="2" t="s">
        <v>96</v>
      </c>
      <c r="B106" s="2" t="s">
        <v>15</v>
      </c>
      <c r="C106" s="2" t="s">
        <v>20</v>
      </c>
      <c r="D106" s="2" t="n">
        <v>6659</v>
      </c>
      <c r="E106" s="2" t="n">
        <v>10102</v>
      </c>
      <c r="F106" s="2" t="n">
        <v>135</v>
      </c>
      <c r="G106" s="2" t="n">
        <v>28</v>
      </c>
      <c r="H106" s="2" t="n">
        <v>37</v>
      </c>
      <c r="I106" s="2" t="n">
        <v>6</v>
      </c>
      <c r="J106" s="2" t="n">
        <f aca="false">F106+G106+H106</f>
        <v>200</v>
      </c>
      <c r="K106" s="3" t="n">
        <f aca="false">J106/D106</f>
        <v>0.0300345397206788</v>
      </c>
    </row>
    <row r="107" customFormat="false" ht="15" hidden="false" customHeight="false" outlineLevel="0" collapsed="false">
      <c r="A107" s="2" t="s">
        <v>96</v>
      </c>
      <c r="B107" s="2" t="s">
        <v>15</v>
      </c>
      <c r="C107" s="2" t="s">
        <v>16</v>
      </c>
      <c r="D107" s="2" t="n">
        <v>4518</v>
      </c>
      <c r="E107" s="2" t="n">
        <v>5678</v>
      </c>
      <c r="F107" s="2" t="n">
        <v>131</v>
      </c>
      <c r="G107" s="2" t="n">
        <v>19</v>
      </c>
      <c r="H107" s="2" t="n">
        <v>58</v>
      </c>
      <c r="I107" s="2" t="n">
        <v>12</v>
      </c>
      <c r="J107" s="2" t="n">
        <f aca="false">F107+G107+H107</f>
        <v>208</v>
      </c>
      <c r="K107" s="3" t="n">
        <f aca="false">J107/D107</f>
        <v>0.0460380699424524</v>
      </c>
    </row>
    <row r="108" customFormat="false" ht="15" hidden="false" customHeight="false" outlineLevel="0" collapsed="false">
      <c r="A108" s="2" t="s">
        <v>97</v>
      </c>
      <c r="B108" s="2" t="s">
        <v>22</v>
      </c>
      <c r="C108" s="2" t="s">
        <v>20</v>
      </c>
      <c r="D108" s="2" t="n">
        <v>4457</v>
      </c>
      <c r="E108" s="2" t="n">
        <v>6402</v>
      </c>
      <c r="F108" s="2" t="n">
        <v>147</v>
      </c>
      <c r="G108" s="2" t="n">
        <v>21</v>
      </c>
      <c r="H108" s="2" t="n">
        <v>33</v>
      </c>
      <c r="I108" s="2" t="n">
        <v>11</v>
      </c>
      <c r="J108" s="2" t="n">
        <f aca="false">F108+G108+H108</f>
        <v>201</v>
      </c>
      <c r="K108" s="3" t="n">
        <f aca="false">J108/D108</f>
        <v>0.0450975992820283</v>
      </c>
    </row>
    <row r="109" customFormat="false" ht="15" hidden="false" customHeight="false" outlineLevel="0" collapsed="false">
      <c r="A109" s="2" t="s">
        <v>98</v>
      </c>
      <c r="B109" s="2" t="s">
        <v>19</v>
      </c>
      <c r="C109" s="2" t="s">
        <v>23</v>
      </c>
      <c r="D109" s="2" t="n">
        <v>2997</v>
      </c>
      <c r="E109" s="2" t="n">
        <v>4442</v>
      </c>
      <c r="F109" s="2" t="n">
        <v>91</v>
      </c>
      <c r="G109" s="2" t="n">
        <v>12</v>
      </c>
      <c r="H109" s="2" t="n">
        <v>35</v>
      </c>
      <c r="I109" s="2" t="n">
        <v>4</v>
      </c>
      <c r="J109" s="2" t="n">
        <f aca="false">F109+G109+H109</f>
        <v>138</v>
      </c>
      <c r="K109" s="3" t="n">
        <f aca="false">J109/D109</f>
        <v>0.0460460460460461</v>
      </c>
    </row>
    <row r="110" customFormat="false" ht="15" hidden="false" customHeight="false" outlineLevel="0" collapsed="false">
      <c r="A110" s="2" t="s">
        <v>98</v>
      </c>
      <c r="B110" s="2" t="s">
        <v>22</v>
      </c>
      <c r="C110" s="2" t="s">
        <v>13</v>
      </c>
      <c r="D110" s="2" t="n">
        <v>2682</v>
      </c>
      <c r="E110" s="2" t="n">
        <v>3982</v>
      </c>
      <c r="F110" s="2" t="n">
        <v>46</v>
      </c>
      <c r="G110" s="2" t="n">
        <v>5</v>
      </c>
      <c r="H110" s="2" t="n">
        <v>12</v>
      </c>
      <c r="I110" s="2" t="n">
        <v>4</v>
      </c>
      <c r="J110" s="2" t="n">
        <f aca="false">F110+G110+H110</f>
        <v>63</v>
      </c>
      <c r="K110" s="3" t="n">
        <f aca="false">J110/D110</f>
        <v>0.023489932885906</v>
      </c>
    </row>
    <row r="111" customFormat="false" ht="15" hidden="false" customHeight="false" outlineLevel="0" collapsed="false">
      <c r="A111" s="2" t="s">
        <v>98</v>
      </c>
      <c r="B111" s="2" t="s">
        <v>26</v>
      </c>
      <c r="C111" s="2" t="s">
        <v>16</v>
      </c>
      <c r="D111" s="2" t="n">
        <v>8378</v>
      </c>
      <c r="E111" s="2" t="n">
        <v>13135</v>
      </c>
      <c r="F111" s="2" t="n">
        <v>492</v>
      </c>
      <c r="G111" s="2" t="n">
        <v>86</v>
      </c>
      <c r="H111" s="2" t="n">
        <v>115</v>
      </c>
      <c r="I111" s="2" t="n">
        <v>23</v>
      </c>
      <c r="J111" s="2" t="n">
        <f aca="false">F111+G111+H111</f>
        <v>693</v>
      </c>
      <c r="K111" s="3" t="n">
        <f aca="false">J111/D111</f>
        <v>0.0827166388159465</v>
      </c>
    </row>
    <row r="112" customFormat="false" ht="15" hidden="false" customHeight="false" outlineLevel="0" collapsed="false">
      <c r="A112" s="2" t="s">
        <v>99</v>
      </c>
      <c r="B112" s="2" t="s">
        <v>22</v>
      </c>
      <c r="C112" s="2" t="s">
        <v>20</v>
      </c>
      <c r="D112" s="2" t="n">
        <v>3867</v>
      </c>
      <c r="E112" s="2" t="n">
        <v>4843</v>
      </c>
      <c r="F112" s="2" t="n">
        <v>153</v>
      </c>
      <c r="G112" s="2" t="n">
        <v>13</v>
      </c>
      <c r="H112" s="2" t="n">
        <v>88</v>
      </c>
      <c r="I112" s="2" t="n">
        <v>10</v>
      </c>
      <c r="J112" s="2" t="n">
        <f aca="false">F112+G112+H112</f>
        <v>254</v>
      </c>
      <c r="K112" s="3" t="n">
        <f aca="false">J112/D112</f>
        <v>0.0656839927592449</v>
      </c>
    </row>
    <row r="113" customFormat="false" ht="15" hidden="false" customHeight="false" outlineLevel="0" collapsed="false">
      <c r="A113" s="2" t="s">
        <v>99</v>
      </c>
      <c r="B113" s="2" t="s">
        <v>15</v>
      </c>
      <c r="C113" s="2" t="s">
        <v>20</v>
      </c>
      <c r="D113" s="2" t="n">
        <v>4825</v>
      </c>
      <c r="E113" s="2" t="n">
        <v>6708</v>
      </c>
      <c r="F113" s="2" t="n">
        <v>152</v>
      </c>
      <c r="G113" s="2" t="n">
        <v>15</v>
      </c>
      <c r="H113" s="2" t="n">
        <v>69</v>
      </c>
      <c r="I113" s="2" t="n">
        <v>10</v>
      </c>
      <c r="J113" s="2" t="n">
        <f aca="false">F113+G113+H113</f>
        <v>236</v>
      </c>
      <c r="K113" s="3" t="n">
        <f aca="false">J113/D113</f>
        <v>0.0489119170984456</v>
      </c>
    </row>
    <row r="114" customFormat="false" ht="15" hidden="false" customHeight="false" outlineLevel="0" collapsed="false">
      <c r="A114" s="2" t="s">
        <v>100</v>
      </c>
      <c r="B114" s="2" t="s">
        <v>26</v>
      </c>
      <c r="C114" s="2" t="s">
        <v>18</v>
      </c>
      <c r="D114" s="2" t="n">
        <v>6835</v>
      </c>
      <c r="E114" s="2" t="n">
        <v>8305</v>
      </c>
      <c r="F114" s="2" t="n">
        <v>291</v>
      </c>
      <c r="G114" s="2" t="n">
        <v>60</v>
      </c>
      <c r="H114" s="2" t="n">
        <v>104</v>
      </c>
      <c r="I114" s="2" t="n">
        <v>36</v>
      </c>
      <c r="J114" s="2" t="n">
        <f aca="false">F114+G114+H114</f>
        <v>455</v>
      </c>
      <c r="K114" s="3" t="n">
        <f aca="false">J114/D114</f>
        <v>0.0665691294806145</v>
      </c>
    </row>
    <row r="115" customFormat="false" ht="15" hidden="false" customHeight="false" outlineLevel="0" collapsed="false">
      <c r="A115" s="2" t="s">
        <v>101</v>
      </c>
      <c r="B115" s="2" t="s">
        <v>26</v>
      </c>
      <c r="C115" s="2" t="s">
        <v>16</v>
      </c>
      <c r="D115" s="2" t="n">
        <v>8076</v>
      </c>
      <c r="E115" s="2" t="n">
        <v>11634</v>
      </c>
      <c r="F115" s="2" t="n">
        <v>305</v>
      </c>
      <c r="G115" s="2" t="n">
        <v>51</v>
      </c>
      <c r="H115" s="2" t="n">
        <v>56</v>
      </c>
      <c r="I115" s="2" t="n">
        <v>14</v>
      </c>
      <c r="J115" s="2" t="n">
        <f aca="false">F115+G115+H115</f>
        <v>412</v>
      </c>
      <c r="K115" s="3" t="n">
        <f aca="false">J115/D115</f>
        <v>0.0510153541357108</v>
      </c>
    </row>
    <row r="116" customFormat="false" ht="15" hidden="false" customHeight="false" outlineLevel="0" collapsed="false">
      <c r="A116" s="2" t="s">
        <v>101</v>
      </c>
      <c r="B116" s="2" t="s">
        <v>26</v>
      </c>
      <c r="C116" s="2" t="s">
        <v>13</v>
      </c>
      <c r="D116" s="2" t="n">
        <v>8346</v>
      </c>
      <c r="E116" s="2" t="n">
        <v>10295</v>
      </c>
      <c r="F116" s="2" t="n">
        <v>192</v>
      </c>
      <c r="G116" s="2" t="n">
        <v>16</v>
      </c>
      <c r="H116" s="2" t="n">
        <v>52</v>
      </c>
      <c r="I116" s="2" t="n">
        <v>15</v>
      </c>
      <c r="J116" s="2" t="n">
        <f aca="false">F116+G116+H116</f>
        <v>260</v>
      </c>
      <c r="K116" s="3" t="n">
        <f aca="false">J116/D116</f>
        <v>0.0311526479750779</v>
      </c>
    </row>
    <row r="117" customFormat="false" ht="15" hidden="false" customHeight="false" outlineLevel="0" collapsed="false">
      <c r="A117" s="2" t="s">
        <v>102</v>
      </c>
      <c r="B117" s="2" t="s">
        <v>19</v>
      </c>
      <c r="C117" s="2" t="s">
        <v>16</v>
      </c>
      <c r="D117" s="2" t="n">
        <v>2402</v>
      </c>
      <c r="E117" s="2" t="n">
        <v>3462</v>
      </c>
      <c r="F117" s="2" t="n">
        <v>82</v>
      </c>
      <c r="G117" s="2" t="n">
        <v>12</v>
      </c>
      <c r="H117" s="2" t="n">
        <v>24</v>
      </c>
      <c r="I117" s="2" t="n">
        <v>3</v>
      </c>
      <c r="J117" s="2" t="n">
        <f aca="false">F117+G117+H117</f>
        <v>118</v>
      </c>
      <c r="K117" s="3" t="n">
        <f aca="false">J117/D117</f>
        <v>0.0491257285595337</v>
      </c>
    </row>
    <row r="118" customFormat="false" ht="15" hidden="false" customHeight="false" outlineLevel="0" collapsed="false">
      <c r="A118" s="2" t="s">
        <v>103</v>
      </c>
      <c r="B118" s="2" t="s">
        <v>22</v>
      </c>
      <c r="C118" s="2" t="s">
        <v>23</v>
      </c>
      <c r="D118" s="2" t="n">
        <v>3330</v>
      </c>
      <c r="E118" s="2" t="n">
        <v>4941</v>
      </c>
      <c r="F118" s="2" t="n">
        <v>109</v>
      </c>
      <c r="G118" s="2" t="n">
        <v>10</v>
      </c>
      <c r="H118" s="2" t="n">
        <v>53</v>
      </c>
      <c r="I118" s="2" t="n">
        <v>6</v>
      </c>
      <c r="J118" s="2" t="n">
        <f aca="false">F118+G118+H118</f>
        <v>172</v>
      </c>
      <c r="K118" s="3" t="n">
        <f aca="false">J118/D118</f>
        <v>0.0516516516516517</v>
      </c>
    </row>
    <row r="119" customFormat="false" ht="15" hidden="false" customHeight="false" outlineLevel="0" collapsed="false">
      <c r="A119" s="2" t="s">
        <v>104</v>
      </c>
      <c r="B119" s="2" t="s">
        <v>12</v>
      </c>
      <c r="C119" s="2" t="s">
        <v>20</v>
      </c>
      <c r="D119" s="2" t="n">
        <v>1183</v>
      </c>
      <c r="E119" s="2" t="n">
        <v>1739</v>
      </c>
      <c r="F119" s="2" t="n">
        <v>31</v>
      </c>
      <c r="G119" s="2" t="n">
        <v>4</v>
      </c>
      <c r="H119" s="2" t="n">
        <v>11</v>
      </c>
      <c r="I119" s="2" t="n">
        <v>3</v>
      </c>
      <c r="J119" s="2" t="n">
        <f aca="false">F119+G119+H119</f>
        <v>46</v>
      </c>
      <c r="K119" s="3" t="n">
        <f aca="false">J119/D119</f>
        <v>0.0388841927303466</v>
      </c>
    </row>
    <row r="120" customFormat="false" ht="15" hidden="false" customHeight="false" outlineLevel="0" collapsed="false">
      <c r="A120" s="2" t="s">
        <v>105</v>
      </c>
      <c r="B120" s="2" t="s">
        <v>12</v>
      </c>
      <c r="C120" s="2" t="s">
        <v>18</v>
      </c>
      <c r="D120" s="2" t="n">
        <v>2640</v>
      </c>
      <c r="E120" s="2" t="n">
        <v>3238</v>
      </c>
      <c r="F120" s="2" t="n">
        <v>160</v>
      </c>
      <c r="G120" s="2" t="n">
        <v>15</v>
      </c>
      <c r="H120" s="2" t="n">
        <v>45</v>
      </c>
      <c r="I120" s="2" t="n">
        <v>7</v>
      </c>
      <c r="J120" s="2" t="n">
        <f aca="false">F120+G120+H120</f>
        <v>220</v>
      </c>
      <c r="K120" s="3" t="n">
        <f aca="false">J120/D120</f>
        <v>0.0833333333333333</v>
      </c>
    </row>
    <row r="121" customFormat="false" ht="15" hidden="false" customHeight="false" outlineLevel="0" collapsed="false">
      <c r="A121" s="2" t="s">
        <v>106</v>
      </c>
      <c r="B121" s="2" t="s">
        <v>19</v>
      </c>
      <c r="C121" s="2" t="s">
        <v>23</v>
      </c>
      <c r="D121" s="2" t="n">
        <v>2830</v>
      </c>
      <c r="E121" s="2" t="n">
        <v>4410</v>
      </c>
      <c r="F121" s="2" t="n">
        <v>128</v>
      </c>
      <c r="G121" s="2" t="n">
        <v>21</v>
      </c>
      <c r="H121" s="2" t="n">
        <v>33</v>
      </c>
      <c r="I121" s="2" t="n">
        <v>14</v>
      </c>
      <c r="J121" s="2" t="n">
        <f aca="false">F121+G121+H121</f>
        <v>182</v>
      </c>
      <c r="K121" s="3" t="n">
        <f aca="false">J121/D121</f>
        <v>0.0643109540636042</v>
      </c>
    </row>
    <row r="122" customFormat="false" ht="15" hidden="false" customHeight="false" outlineLevel="0" collapsed="false">
      <c r="A122" s="2" t="s">
        <v>107</v>
      </c>
      <c r="B122" s="2" t="s">
        <v>12</v>
      </c>
      <c r="C122" s="2" t="s">
        <v>13</v>
      </c>
      <c r="D122" s="2" t="n">
        <v>935</v>
      </c>
      <c r="E122" s="2" t="n">
        <v>1315</v>
      </c>
      <c r="F122" s="2" t="n">
        <v>25</v>
      </c>
      <c r="G122" s="2" t="n">
        <v>4</v>
      </c>
      <c r="H122" s="2" t="n">
        <v>10</v>
      </c>
      <c r="I122" s="2" t="n">
        <v>1</v>
      </c>
      <c r="J122" s="2" t="n">
        <f aca="false">F122+G122+H122</f>
        <v>39</v>
      </c>
      <c r="K122" s="3" t="n">
        <f aca="false">J122/D122</f>
        <v>0.0417112299465241</v>
      </c>
    </row>
    <row r="123" customFormat="false" ht="15" hidden="false" customHeight="false" outlineLevel="0" collapsed="false">
      <c r="A123" s="2" t="s">
        <v>107</v>
      </c>
      <c r="B123" s="2" t="s">
        <v>26</v>
      </c>
      <c r="C123" s="2" t="s">
        <v>18</v>
      </c>
      <c r="D123" s="2" t="n">
        <v>9456</v>
      </c>
      <c r="E123" s="2" t="n">
        <v>11014</v>
      </c>
      <c r="F123" s="2" t="n">
        <v>182</v>
      </c>
      <c r="G123" s="2" t="n">
        <v>17</v>
      </c>
      <c r="H123" s="2" t="n">
        <v>64</v>
      </c>
      <c r="I123" s="2" t="n">
        <v>21</v>
      </c>
      <c r="J123" s="2" t="n">
        <f aca="false">F123+G123+H123</f>
        <v>263</v>
      </c>
      <c r="K123" s="3" t="n">
        <f aca="false">J123/D123</f>
        <v>0.0278130287648054</v>
      </c>
    </row>
    <row r="124" customFormat="false" ht="15" hidden="false" customHeight="false" outlineLevel="0" collapsed="false">
      <c r="A124" s="2" t="s">
        <v>108</v>
      </c>
      <c r="B124" s="2" t="s">
        <v>12</v>
      </c>
      <c r="C124" s="2" t="s">
        <v>13</v>
      </c>
      <c r="D124" s="2" t="n">
        <v>1581</v>
      </c>
      <c r="E124" s="2" t="n">
        <v>1865</v>
      </c>
      <c r="F124" s="2" t="n">
        <v>63</v>
      </c>
      <c r="G124" s="2" t="n">
        <v>13</v>
      </c>
      <c r="H124" s="2" t="n">
        <v>21</v>
      </c>
      <c r="I124" s="2" t="n">
        <v>7</v>
      </c>
      <c r="J124" s="2" t="n">
        <f aca="false">F124+G124+H124</f>
        <v>97</v>
      </c>
      <c r="K124" s="3" t="n">
        <f aca="false">J124/D124</f>
        <v>0.0613535736875395</v>
      </c>
    </row>
    <row r="125" customFormat="false" ht="15" hidden="false" customHeight="false" outlineLevel="0" collapsed="false">
      <c r="A125" s="2" t="s">
        <v>109</v>
      </c>
      <c r="B125" s="2" t="s">
        <v>26</v>
      </c>
      <c r="C125" s="2" t="s">
        <v>23</v>
      </c>
      <c r="D125" s="2" t="n">
        <v>3573</v>
      </c>
      <c r="E125" s="2" t="n">
        <v>4281</v>
      </c>
      <c r="F125" s="2" t="n">
        <v>76</v>
      </c>
      <c r="G125" s="2" t="n">
        <v>7</v>
      </c>
      <c r="H125" s="2" t="n">
        <v>40</v>
      </c>
      <c r="I125" s="2" t="n">
        <v>9</v>
      </c>
      <c r="J125" s="2" t="n">
        <f aca="false">F125+G125+H125</f>
        <v>123</v>
      </c>
      <c r="K125" s="3" t="n">
        <f aca="false">J125/D125</f>
        <v>0.0344248530646516</v>
      </c>
    </row>
    <row r="126" customFormat="false" ht="15" hidden="false" customHeight="false" outlineLevel="0" collapsed="false">
      <c r="A126" s="2" t="s">
        <v>109</v>
      </c>
      <c r="B126" s="2" t="s">
        <v>26</v>
      </c>
      <c r="C126" s="2" t="s">
        <v>13</v>
      </c>
      <c r="D126" s="2" t="n">
        <v>9523</v>
      </c>
      <c r="E126" s="2" t="n">
        <v>12183</v>
      </c>
      <c r="F126" s="2" t="n">
        <v>158</v>
      </c>
      <c r="G126" s="2" t="n">
        <v>32</v>
      </c>
      <c r="H126" s="2" t="n">
        <v>67</v>
      </c>
      <c r="I126" s="2" t="n">
        <v>8</v>
      </c>
      <c r="J126" s="2" t="n">
        <f aca="false">F126+G126+H126</f>
        <v>257</v>
      </c>
      <c r="K126" s="3" t="n">
        <f aca="false">J126/D126</f>
        <v>0.0269872939199832</v>
      </c>
    </row>
    <row r="127" customFormat="false" ht="15" hidden="false" customHeight="false" outlineLevel="0" collapsed="false">
      <c r="A127" s="2" t="s">
        <v>110</v>
      </c>
      <c r="B127" s="2" t="s">
        <v>15</v>
      </c>
      <c r="C127" s="2" t="s">
        <v>20</v>
      </c>
      <c r="D127" s="2" t="n">
        <v>3045</v>
      </c>
      <c r="E127" s="2" t="n">
        <v>4776</v>
      </c>
      <c r="F127" s="2" t="n">
        <v>51</v>
      </c>
      <c r="G127" s="2" t="n">
        <v>10</v>
      </c>
      <c r="H127" s="2" t="n">
        <v>10</v>
      </c>
      <c r="I127" s="2" t="n">
        <v>5</v>
      </c>
      <c r="J127" s="2" t="n">
        <f aca="false">F127+G127+H127</f>
        <v>71</v>
      </c>
      <c r="K127" s="3" t="n">
        <f aca="false">J127/D127</f>
        <v>0.0233169129720854</v>
      </c>
    </row>
    <row r="128" customFormat="false" ht="15" hidden="false" customHeight="false" outlineLevel="0" collapsed="false">
      <c r="A128" s="2" t="s">
        <v>111</v>
      </c>
      <c r="B128" s="2" t="s">
        <v>12</v>
      </c>
      <c r="C128" s="2" t="s">
        <v>23</v>
      </c>
      <c r="D128" s="2" t="n">
        <v>2802</v>
      </c>
      <c r="E128" s="2" t="n">
        <v>3346</v>
      </c>
      <c r="F128" s="2" t="n">
        <v>90</v>
      </c>
      <c r="G128" s="2" t="n">
        <v>16</v>
      </c>
      <c r="H128" s="2" t="n">
        <v>42</v>
      </c>
      <c r="I128" s="2" t="n">
        <v>9</v>
      </c>
      <c r="J128" s="2" t="n">
        <f aca="false">F128+G128+H128</f>
        <v>148</v>
      </c>
      <c r="K128" s="3" t="n">
        <f aca="false">J128/D128</f>
        <v>0.052819414703783</v>
      </c>
    </row>
    <row r="129" customFormat="false" ht="15" hidden="false" customHeight="false" outlineLevel="0" collapsed="false">
      <c r="A129" s="2" t="s">
        <v>112</v>
      </c>
      <c r="B129" s="2" t="s">
        <v>19</v>
      </c>
      <c r="C129" s="2" t="s">
        <v>20</v>
      </c>
      <c r="D129" s="2" t="n">
        <v>2572</v>
      </c>
      <c r="E129" s="2" t="n">
        <v>3840</v>
      </c>
      <c r="F129" s="2" t="n">
        <v>136</v>
      </c>
      <c r="G129" s="2" t="n">
        <v>22</v>
      </c>
      <c r="H129" s="2" t="n">
        <v>69</v>
      </c>
      <c r="I129" s="2" t="n">
        <v>11</v>
      </c>
      <c r="J129" s="2" t="n">
        <f aca="false">F129+G129+H129</f>
        <v>227</v>
      </c>
      <c r="K129" s="3" t="n">
        <f aca="false">J129/D129</f>
        <v>0.0882581648522551</v>
      </c>
    </row>
    <row r="130" customFormat="false" ht="15" hidden="false" customHeight="false" outlineLevel="0" collapsed="false">
      <c r="A130" s="2" t="s">
        <v>113</v>
      </c>
      <c r="B130" s="2" t="s">
        <v>22</v>
      </c>
      <c r="C130" s="2" t="s">
        <v>16</v>
      </c>
      <c r="D130" s="2" t="n">
        <v>3241</v>
      </c>
      <c r="E130" s="2" t="n">
        <v>4141</v>
      </c>
      <c r="F130" s="2" t="n">
        <v>80</v>
      </c>
      <c r="G130" s="2" t="n">
        <v>11</v>
      </c>
      <c r="H130" s="2" t="n">
        <v>23</v>
      </c>
      <c r="I130" s="2" t="n">
        <v>3</v>
      </c>
      <c r="J130" s="2" t="n">
        <f aca="false">F130+G130+H130</f>
        <v>114</v>
      </c>
      <c r="K130" s="3" t="n">
        <f aca="false">J130/D130</f>
        <v>0.03517432891083</v>
      </c>
    </row>
    <row r="131" customFormat="false" ht="15" hidden="false" customHeight="false" outlineLevel="0" collapsed="false">
      <c r="A131" s="2" t="s">
        <v>114</v>
      </c>
      <c r="B131" s="2" t="s">
        <v>12</v>
      </c>
      <c r="C131" s="2" t="s">
        <v>13</v>
      </c>
      <c r="D131" s="2" t="n">
        <v>3640</v>
      </c>
      <c r="E131" s="2" t="n">
        <v>5215</v>
      </c>
      <c r="F131" s="2" t="n">
        <v>108</v>
      </c>
      <c r="G131" s="2" t="n">
        <v>15</v>
      </c>
      <c r="H131" s="2" t="n">
        <v>40</v>
      </c>
      <c r="I131" s="2" t="n">
        <v>12</v>
      </c>
      <c r="J131" s="2" t="n">
        <f aca="false">F131+G131+H131</f>
        <v>163</v>
      </c>
      <c r="K131" s="3" t="n">
        <f aca="false">J131/D131</f>
        <v>0.0447802197802198</v>
      </c>
    </row>
    <row r="132" customFormat="false" ht="15" hidden="false" customHeight="false" outlineLevel="0" collapsed="false">
      <c r="A132" s="2" t="s">
        <v>114</v>
      </c>
      <c r="B132" s="2" t="s">
        <v>15</v>
      </c>
      <c r="C132" s="2" t="s">
        <v>13</v>
      </c>
      <c r="D132" s="2" t="n">
        <v>4400</v>
      </c>
      <c r="E132" s="2" t="n">
        <v>5908</v>
      </c>
      <c r="F132" s="2" t="n">
        <v>160</v>
      </c>
      <c r="G132" s="2" t="n">
        <v>38</v>
      </c>
      <c r="H132" s="2" t="n">
        <v>58</v>
      </c>
      <c r="I132" s="2" t="n">
        <v>15</v>
      </c>
      <c r="J132" s="2" t="n">
        <f aca="false">F132+G132+H132</f>
        <v>256</v>
      </c>
      <c r="K132" s="3" t="n">
        <f aca="false">J132/D132</f>
        <v>0.0581818181818182</v>
      </c>
    </row>
    <row r="133" customFormat="false" ht="15" hidden="false" customHeight="false" outlineLevel="0" collapsed="false">
      <c r="A133" s="2" t="s">
        <v>115</v>
      </c>
      <c r="B133" s="2" t="s">
        <v>12</v>
      </c>
      <c r="C133" s="2" t="s">
        <v>16</v>
      </c>
      <c r="D133" s="2" t="n">
        <v>2404</v>
      </c>
      <c r="E133" s="2" t="n">
        <v>3464</v>
      </c>
      <c r="F133" s="2" t="n">
        <v>69</v>
      </c>
      <c r="G133" s="2" t="n">
        <v>7</v>
      </c>
      <c r="H133" s="2" t="n">
        <v>31</v>
      </c>
      <c r="I133" s="2" t="n">
        <v>8</v>
      </c>
      <c r="J133" s="2" t="n">
        <f aca="false">F133+G133+H133</f>
        <v>107</v>
      </c>
      <c r="K133" s="3" t="n">
        <f aca="false">J133/D133</f>
        <v>0.0445091514143095</v>
      </c>
    </row>
    <row r="134" customFormat="false" ht="15" hidden="false" customHeight="false" outlineLevel="0" collapsed="false">
      <c r="A134" s="2" t="s">
        <v>116</v>
      </c>
      <c r="B134" s="2" t="s">
        <v>12</v>
      </c>
      <c r="C134" s="2" t="s">
        <v>16</v>
      </c>
      <c r="D134" s="2" t="n">
        <v>2054</v>
      </c>
      <c r="E134" s="2" t="n">
        <v>2956</v>
      </c>
      <c r="F134" s="2" t="n">
        <v>95</v>
      </c>
      <c r="G134" s="2" t="n">
        <v>11</v>
      </c>
      <c r="H134" s="2" t="n">
        <v>35</v>
      </c>
      <c r="I134" s="2" t="n">
        <v>9</v>
      </c>
      <c r="J134" s="2" t="n">
        <f aca="false">F134+G134+H134</f>
        <v>141</v>
      </c>
      <c r="K134" s="3" t="n">
        <f aca="false">J134/D134</f>
        <v>0.0686465433300876</v>
      </c>
    </row>
    <row r="135" customFormat="false" ht="15" hidden="false" customHeight="false" outlineLevel="0" collapsed="false">
      <c r="A135" s="2" t="s">
        <v>117</v>
      </c>
      <c r="B135" s="2" t="s">
        <v>26</v>
      </c>
      <c r="C135" s="2" t="s">
        <v>20</v>
      </c>
      <c r="D135" s="2" t="n">
        <v>10402</v>
      </c>
      <c r="E135" s="2" t="n">
        <v>16527</v>
      </c>
      <c r="F135" s="2" t="n">
        <v>455</v>
      </c>
      <c r="G135" s="2" t="n">
        <v>108</v>
      </c>
      <c r="H135" s="2" t="n">
        <v>176</v>
      </c>
      <c r="I135" s="2" t="n">
        <v>19</v>
      </c>
      <c r="J135" s="2" t="n">
        <f aca="false">F135+G135+H135</f>
        <v>739</v>
      </c>
      <c r="K135" s="3" t="n">
        <f aca="false">J135/D135</f>
        <v>0.0710440299942319</v>
      </c>
    </row>
    <row r="136" customFormat="false" ht="15" hidden="false" customHeight="false" outlineLevel="0" collapsed="false">
      <c r="A136" s="2" t="s">
        <v>118</v>
      </c>
      <c r="B136" s="2" t="s">
        <v>12</v>
      </c>
      <c r="C136" s="2" t="s">
        <v>20</v>
      </c>
      <c r="D136" s="2" t="n">
        <v>1560</v>
      </c>
      <c r="E136" s="2" t="n">
        <v>2242</v>
      </c>
      <c r="F136" s="2" t="n">
        <v>27</v>
      </c>
      <c r="G136" s="2" t="n">
        <v>4</v>
      </c>
      <c r="H136" s="2" t="n">
        <v>12</v>
      </c>
      <c r="I136" s="2" t="n">
        <v>1</v>
      </c>
      <c r="J136" s="2" t="n">
        <f aca="false">F136+G136+H136</f>
        <v>43</v>
      </c>
      <c r="K136" s="3" t="n">
        <f aca="false">J136/D136</f>
        <v>0.0275641025641026</v>
      </c>
    </row>
    <row r="137" customFormat="false" ht="15" hidden="false" customHeight="false" outlineLevel="0" collapsed="false">
      <c r="A137" s="2" t="s">
        <v>118</v>
      </c>
      <c r="B137" s="2" t="s">
        <v>22</v>
      </c>
      <c r="C137" s="2" t="s">
        <v>23</v>
      </c>
      <c r="D137" s="2" t="n">
        <v>3748</v>
      </c>
      <c r="E137" s="2" t="n">
        <v>5480</v>
      </c>
      <c r="F137" s="2" t="n">
        <v>143</v>
      </c>
      <c r="G137" s="2" t="n">
        <v>20</v>
      </c>
      <c r="H137" s="2" t="n">
        <v>43</v>
      </c>
      <c r="I137" s="2" t="n">
        <v>6</v>
      </c>
      <c r="J137" s="2" t="n">
        <f aca="false">F137+G137+H137</f>
        <v>206</v>
      </c>
      <c r="K137" s="3" t="n">
        <f aca="false">J137/D137</f>
        <v>0.0549626467449306</v>
      </c>
    </row>
    <row r="138" customFormat="false" ht="15" hidden="false" customHeight="false" outlineLevel="0" collapsed="false">
      <c r="A138" s="2" t="s">
        <v>118</v>
      </c>
      <c r="B138" s="2" t="s">
        <v>19</v>
      </c>
      <c r="C138" s="2" t="s">
        <v>23</v>
      </c>
      <c r="D138" s="2" t="n">
        <v>2995</v>
      </c>
      <c r="E138" s="2" t="n">
        <v>4594</v>
      </c>
      <c r="F138" s="2" t="n">
        <v>142</v>
      </c>
      <c r="G138" s="2" t="n">
        <v>24</v>
      </c>
      <c r="H138" s="2" t="n">
        <v>41</v>
      </c>
      <c r="I138" s="2" t="n">
        <v>15</v>
      </c>
      <c r="J138" s="2" t="n">
        <f aca="false">F138+G138+H138</f>
        <v>207</v>
      </c>
      <c r="K138" s="3" t="n">
        <f aca="false">J138/D138</f>
        <v>0.0691151919866444</v>
      </c>
    </row>
    <row r="139" customFormat="false" ht="15" hidden="false" customHeight="false" outlineLevel="0" collapsed="false">
      <c r="A139" s="2" t="s">
        <v>119</v>
      </c>
      <c r="B139" s="2" t="s">
        <v>15</v>
      </c>
      <c r="C139" s="2" t="s">
        <v>23</v>
      </c>
      <c r="D139" s="2" t="n">
        <v>5594</v>
      </c>
      <c r="E139" s="2" t="n">
        <v>7221</v>
      </c>
      <c r="F139" s="2" t="n">
        <v>220</v>
      </c>
      <c r="G139" s="2" t="n">
        <v>33</v>
      </c>
      <c r="H139" s="2" t="n">
        <v>105</v>
      </c>
      <c r="I139" s="2" t="n">
        <v>24</v>
      </c>
      <c r="J139" s="2" t="n">
        <f aca="false">F139+G139+H139</f>
        <v>358</v>
      </c>
      <c r="K139" s="3" t="n">
        <f aca="false">J139/D139</f>
        <v>0.063997139792635</v>
      </c>
    </row>
    <row r="140" customFormat="false" ht="15" hidden="false" customHeight="false" outlineLevel="0" collapsed="false">
      <c r="A140" s="2" t="s">
        <v>120</v>
      </c>
      <c r="B140" s="2" t="s">
        <v>22</v>
      </c>
      <c r="C140" s="2" t="s">
        <v>16</v>
      </c>
      <c r="D140" s="2" t="n">
        <v>4347</v>
      </c>
      <c r="E140" s="2" t="n">
        <v>6292</v>
      </c>
      <c r="F140" s="2" t="n">
        <v>259</v>
      </c>
      <c r="G140" s="2" t="n">
        <v>29</v>
      </c>
      <c r="H140" s="2" t="n">
        <v>65</v>
      </c>
      <c r="I140" s="2" t="n">
        <v>7</v>
      </c>
      <c r="J140" s="2" t="n">
        <f aca="false">F140+G140+H140</f>
        <v>353</v>
      </c>
      <c r="K140" s="3" t="n">
        <f aca="false">J140/D140</f>
        <v>0.081205429031516</v>
      </c>
    </row>
    <row r="141" customFormat="false" ht="15" hidden="false" customHeight="false" outlineLevel="0" collapsed="false">
      <c r="A141" s="2" t="s">
        <v>121</v>
      </c>
      <c r="B141" s="2" t="s">
        <v>15</v>
      </c>
      <c r="C141" s="2" t="s">
        <v>18</v>
      </c>
      <c r="D141" s="2" t="n">
        <v>2685</v>
      </c>
      <c r="E141" s="2" t="n">
        <v>3715</v>
      </c>
      <c r="F141" s="2" t="n">
        <v>50</v>
      </c>
      <c r="G141" s="2" t="n">
        <v>8</v>
      </c>
      <c r="H141" s="2" t="n">
        <v>15</v>
      </c>
      <c r="I141" s="2" t="n">
        <v>5</v>
      </c>
      <c r="J141" s="2" t="n">
        <f aca="false">F141+G141+H141</f>
        <v>73</v>
      </c>
      <c r="K141" s="3" t="n">
        <f aca="false">J141/D141</f>
        <v>0.0271880819366853</v>
      </c>
    </row>
    <row r="142" customFormat="false" ht="15" hidden="false" customHeight="false" outlineLevel="0" collapsed="false">
      <c r="A142" s="2" t="s">
        <v>122</v>
      </c>
      <c r="B142" s="2" t="s">
        <v>26</v>
      </c>
      <c r="C142" s="2" t="s">
        <v>16</v>
      </c>
      <c r="D142" s="2" t="n">
        <v>3899</v>
      </c>
      <c r="E142" s="2" t="n">
        <v>5286</v>
      </c>
      <c r="F142" s="2" t="n">
        <v>218</v>
      </c>
      <c r="G142" s="2" t="n">
        <v>35</v>
      </c>
      <c r="H142" s="2" t="n">
        <v>95</v>
      </c>
      <c r="I142" s="2" t="n">
        <v>26</v>
      </c>
      <c r="J142" s="2" t="n">
        <f aca="false">F142+G142+H142</f>
        <v>348</v>
      </c>
      <c r="K142" s="3" t="n">
        <f aca="false">J142/D142</f>
        <v>0.0892536547832778</v>
      </c>
    </row>
    <row r="143" customFormat="false" ht="15" hidden="false" customHeight="false" outlineLevel="0" collapsed="false">
      <c r="A143" s="2" t="s">
        <v>122</v>
      </c>
      <c r="B143" s="2" t="s">
        <v>12</v>
      </c>
      <c r="C143" s="2" t="s">
        <v>16</v>
      </c>
      <c r="D143" s="2" t="n">
        <v>2115</v>
      </c>
      <c r="E143" s="2" t="n">
        <v>2771</v>
      </c>
      <c r="F143" s="2" t="n">
        <v>33</v>
      </c>
      <c r="G143" s="2" t="n">
        <v>5</v>
      </c>
      <c r="H143" s="2" t="n">
        <v>13</v>
      </c>
      <c r="I143" s="2" t="n">
        <v>1</v>
      </c>
      <c r="J143" s="2" t="n">
        <f aca="false">F143+G143+H143</f>
        <v>51</v>
      </c>
      <c r="K143" s="3" t="n">
        <f aca="false">J143/D143</f>
        <v>0.024113475177305</v>
      </c>
    </row>
    <row r="144" customFormat="false" ht="15" hidden="false" customHeight="false" outlineLevel="0" collapsed="false">
      <c r="A144" s="2" t="s">
        <v>123</v>
      </c>
      <c r="B144" s="2" t="s">
        <v>12</v>
      </c>
      <c r="C144" s="2" t="s">
        <v>20</v>
      </c>
      <c r="D144" s="2" t="n">
        <v>1217</v>
      </c>
      <c r="E144" s="2" t="n">
        <v>1566</v>
      </c>
      <c r="F144" s="2" t="n">
        <v>43</v>
      </c>
      <c r="G144" s="2" t="n">
        <v>9</v>
      </c>
      <c r="H144" s="2" t="n">
        <v>6</v>
      </c>
      <c r="I144" s="2" t="n">
        <v>5</v>
      </c>
      <c r="J144" s="2" t="n">
        <f aca="false">F144+G144+H144</f>
        <v>58</v>
      </c>
      <c r="K144" s="3" t="n">
        <f aca="false">J144/D144</f>
        <v>0.047658175842235</v>
      </c>
    </row>
    <row r="145" customFormat="false" ht="15" hidden="false" customHeight="false" outlineLevel="0" collapsed="false">
      <c r="A145" s="2" t="s">
        <v>124</v>
      </c>
      <c r="B145" s="2" t="s">
        <v>26</v>
      </c>
      <c r="C145" s="2" t="s">
        <v>13</v>
      </c>
      <c r="D145" s="2" t="n">
        <v>5248</v>
      </c>
      <c r="E145" s="2" t="n">
        <v>7947</v>
      </c>
      <c r="F145" s="2" t="n">
        <v>227</v>
      </c>
      <c r="G145" s="2" t="n">
        <v>36</v>
      </c>
      <c r="H145" s="2" t="n">
        <v>75</v>
      </c>
      <c r="I145" s="2" t="n">
        <v>11</v>
      </c>
      <c r="J145" s="2" t="n">
        <f aca="false">F145+G145+H145</f>
        <v>338</v>
      </c>
      <c r="K145" s="3" t="n">
        <f aca="false">J145/D145</f>
        <v>0.0644054878048781</v>
      </c>
    </row>
    <row r="146" customFormat="false" ht="15" hidden="false" customHeight="false" outlineLevel="0" collapsed="false">
      <c r="A146" s="2" t="s">
        <v>125</v>
      </c>
      <c r="B146" s="2" t="s">
        <v>26</v>
      </c>
      <c r="C146" s="2" t="s">
        <v>23</v>
      </c>
      <c r="D146" s="2" t="n">
        <v>4076</v>
      </c>
      <c r="E146" s="2" t="n">
        <v>5693</v>
      </c>
      <c r="F146" s="2" t="n">
        <v>85</v>
      </c>
      <c r="G146" s="2" t="n">
        <v>10</v>
      </c>
      <c r="H146" s="2" t="n">
        <v>22</v>
      </c>
      <c r="I146" s="2" t="n">
        <v>8</v>
      </c>
      <c r="J146" s="2" t="n">
        <f aca="false">F146+G146+H146</f>
        <v>117</v>
      </c>
      <c r="K146" s="3" t="n">
        <f aca="false">J146/D146</f>
        <v>0.0287046123650638</v>
      </c>
    </row>
    <row r="147" customFormat="false" ht="15" hidden="false" customHeight="false" outlineLevel="0" collapsed="false">
      <c r="A147" s="2" t="s">
        <v>125</v>
      </c>
      <c r="B147" s="2" t="s">
        <v>15</v>
      </c>
      <c r="C147" s="2" t="s">
        <v>23</v>
      </c>
      <c r="D147" s="2" t="n">
        <v>4231</v>
      </c>
      <c r="E147" s="2" t="n">
        <v>6175</v>
      </c>
      <c r="F147" s="2" t="n">
        <v>264</v>
      </c>
      <c r="G147" s="2" t="n">
        <v>37</v>
      </c>
      <c r="H147" s="2" t="n">
        <v>75</v>
      </c>
      <c r="I147" s="2" t="n">
        <v>26</v>
      </c>
      <c r="J147" s="2" t="n">
        <f aca="false">F147+G147+H147</f>
        <v>376</v>
      </c>
      <c r="K147" s="3" t="n">
        <f aca="false">J147/D147</f>
        <v>0.0888678799338218</v>
      </c>
    </row>
    <row r="148" customFormat="false" ht="15" hidden="false" customHeight="false" outlineLevel="0" collapsed="false">
      <c r="A148" s="2" t="s">
        <v>126</v>
      </c>
      <c r="B148" s="2" t="s">
        <v>22</v>
      </c>
      <c r="C148" s="2" t="s">
        <v>23</v>
      </c>
      <c r="D148" s="2" t="n">
        <v>1364</v>
      </c>
      <c r="E148" s="2" t="n">
        <v>1973</v>
      </c>
      <c r="F148" s="2" t="n">
        <v>46</v>
      </c>
      <c r="G148" s="2" t="n">
        <v>8</v>
      </c>
      <c r="H148" s="2" t="n">
        <v>8</v>
      </c>
      <c r="I148" s="2" t="n">
        <v>1</v>
      </c>
      <c r="J148" s="2" t="n">
        <f aca="false">F148+G148+H148</f>
        <v>62</v>
      </c>
      <c r="K148" s="3" t="n">
        <f aca="false">J148/D148</f>
        <v>0.0454545454545455</v>
      </c>
    </row>
    <row r="149" customFormat="false" ht="15" hidden="false" customHeight="false" outlineLevel="0" collapsed="false">
      <c r="A149" s="2" t="s">
        <v>126</v>
      </c>
      <c r="B149" s="2" t="s">
        <v>26</v>
      </c>
      <c r="C149" s="2" t="s">
        <v>20</v>
      </c>
      <c r="D149" s="2" t="n">
        <v>6949</v>
      </c>
      <c r="E149" s="2" t="n">
        <v>10443</v>
      </c>
      <c r="F149" s="2" t="n">
        <v>150</v>
      </c>
      <c r="G149" s="2" t="n">
        <v>23</v>
      </c>
      <c r="H149" s="2" t="n">
        <v>34</v>
      </c>
      <c r="I149" s="2" t="n">
        <v>4</v>
      </c>
      <c r="J149" s="2" t="n">
        <f aca="false">F149+G149+H149</f>
        <v>207</v>
      </c>
      <c r="K149" s="3" t="n">
        <f aca="false">J149/D149</f>
        <v>0.0297884587710462</v>
      </c>
    </row>
    <row r="150" customFormat="false" ht="15" hidden="false" customHeight="false" outlineLevel="0" collapsed="false">
      <c r="A150" s="2" t="s">
        <v>127</v>
      </c>
      <c r="B150" s="2" t="s">
        <v>12</v>
      </c>
      <c r="C150" s="2" t="s">
        <v>20</v>
      </c>
      <c r="D150" s="2" t="n">
        <v>917</v>
      </c>
      <c r="E150" s="2" t="n">
        <v>1407</v>
      </c>
      <c r="F150" s="2" t="n">
        <v>20</v>
      </c>
      <c r="G150" s="2" t="n">
        <v>4</v>
      </c>
      <c r="H150" s="2" t="n">
        <v>6</v>
      </c>
      <c r="I150" s="2" t="n">
        <v>1</v>
      </c>
      <c r="J150" s="2" t="n">
        <f aca="false">F150+G150+H150</f>
        <v>30</v>
      </c>
      <c r="K150" s="3" t="n">
        <f aca="false">J150/D150</f>
        <v>0.0327153762268266</v>
      </c>
    </row>
    <row r="151" customFormat="false" ht="15" hidden="false" customHeight="false" outlineLevel="0" collapsed="false">
      <c r="A151" s="2" t="s">
        <v>127</v>
      </c>
      <c r="B151" s="2" t="s">
        <v>22</v>
      </c>
      <c r="C151" s="2" t="s">
        <v>16</v>
      </c>
      <c r="D151" s="2" t="n">
        <v>1759</v>
      </c>
      <c r="E151" s="2" t="n">
        <v>2156</v>
      </c>
      <c r="F151" s="2" t="n">
        <v>100</v>
      </c>
      <c r="G151" s="2" t="n">
        <v>19</v>
      </c>
      <c r="H151" s="2" t="n">
        <v>26</v>
      </c>
      <c r="I151" s="2" t="n">
        <v>9</v>
      </c>
      <c r="J151" s="2" t="n">
        <f aca="false">F151+G151+H151</f>
        <v>145</v>
      </c>
      <c r="K151" s="3" t="n">
        <f aca="false">J151/D151</f>
        <v>0.0824332006822058</v>
      </c>
    </row>
    <row r="152" customFormat="false" ht="15" hidden="false" customHeight="false" outlineLevel="0" collapsed="false">
      <c r="A152" s="2" t="s">
        <v>127</v>
      </c>
      <c r="B152" s="2" t="s">
        <v>26</v>
      </c>
      <c r="C152" s="2" t="s">
        <v>20</v>
      </c>
      <c r="D152" s="2" t="n">
        <v>6709</v>
      </c>
      <c r="E152" s="2" t="n">
        <v>9318</v>
      </c>
      <c r="F152" s="2" t="n">
        <v>322</v>
      </c>
      <c r="G152" s="2" t="n">
        <v>67</v>
      </c>
      <c r="H152" s="2" t="n">
        <v>94</v>
      </c>
      <c r="I152" s="2" t="n">
        <v>26</v>
      </c>
      <c r="J152" s="2" t="n">
        <f aca="false">F152+G152+H152</f>
        <v>483</v>
      </c>
      <c r="K152" s="3" t="n">
        <f aca="false">J152/D152</f>
        <v>0.0719928454315099</v>
      </c>
    </row>
    <row r="153" customFormat="false" ht="15" hidden="false" customHeight="false" outlineLevel="0" collapsed="false">
      <c r="A153" s="2" t="s">
        <v>128</v>
      </c>
      <c r="B153" s="2" t="s">
        <v>15</v>
      </c>
      <c r="C153" s="2" t="s">
        <v>23</v>
      </c>
      <c r="D153" s="2" t="n">
        <v>6032</v>
      </c>
      <c r="E153" s="2" t="n">
        <v>8449</v>
      </c>
      <c r="F153" s="2" t="n">
        <v>239</v>
      </c>
      <c r="G153" s="2" t="n">
        <v>39</v>
      </c>
      <c r="H153" s="2" t="n">
        <v>47</v>
      </c>
      <c r="I153" s="2" t="n">
        <v>11</v>
      </c>
      <c r="J153" s="2" t="n">
        <f aca="false">F153+G153+H153</f>
        <v>325</v>
      </c>
      <c r="K153" s="3" t="n">
        <f aca="false">J153/D153</f>
        <v>0.0538793103448276</v>
      </c>
    </row>
    <row r="154" customFormat="false" ht="15" hidden="false" customHeight="false" outlineLevel="0" collapsed="false">
      <c r="A154" s="2" t="s">
        <v>129</v>
      </c>
      <c r="B154" s="2" t="s">
        <v>12</v>
      </c>
      <c r="C154" s="2" t="s">
        <v>18</v>
      </c>
      <c r="D154" s="2" t="n">
        <v>1731</v>
      </c>
      <c r="E154" s="2" t="n">
        <v>2429</v>
      </c>
      <c r="F154" s="2" t="n">
        <v>83</v>
      </c>
      <c r="G154" s="2" t="n">
        <v>10</v>
      </c>
      <c r="H154" s="2" t="n">
        <v>22</v>
      </c>
      <c r="I154" s="2" t="n">
        <v>5</v>
      </c>
      <c r="J154" s="2" t="n">
        <f aca="false">F154+G154+H154</f>
        <v>115</v>
      </c>
      <c r="K154" s="3" t="n">
        <f aca="false">J154/D154</f>
        <v>0.0664355863662623</v>
      </c>
    </row>
    <row r="155" customFormat="false" ht="15" hidden="false" customHeight="false" outlineLevel="0" collapsed="false">
      <c r="A155" s="2" t="s">
        <v>130</v>
      </c>
      <c r="B155" s="2" t="s">
        <v>19</v>
      </c>
      <c r="C155" s="2" t="s">
        <v>13</v>
      </c>
      <c r="D155" s="2" t="n">
        <v>1146</v>
      </c>
      <c r="E155" s="2" t="n">
        <v>1329</v>
      </c>
      <c r="F155" s="2" t="n">
        <v>19</v>
      </c>
      <c r="G155" s="2" t="n">
        <v>4</v>
      </c>
      <c r="H155" s="2" t="n">
        <v>4</v>
      </c>
      <c r="I155" s="2" t="n">
        <v>2</v>
      </c>
      <c r="J155" s="2" t="n">
        <f aca="false">F155+G155+H155</f>
        <v>27</v>
      </c>
      <c r="K155" s="3" t="n">
        <f aca="false">J155/D155</f>
        <v>0.0235602094240838</v>
      </c>
    </row>
    <row r="156" customFormat="false" ht="15" hidden="false" customHeight="false" outlineLevel="0" collapsed="false">
      <c r="A156" s="2" t="s">
        <v>130</v>
      </c>
      <c r="B156" s="2" t="s">
        <v>15</v>
      </c>
      <c r="C156" s="2" t="s">
        <v>23</v>
      </c>
      <c r="D156" s="2" t="n">
        <v>1025</v>
      </c>
      <c r="E156" s="2" t="n">
        <v>1194</v>
      </c>
      <c r="F156" s="2" t="n">
        <v>50</v>
      </c>
      <c r="G156" s="2" t="n">
        <v>6</v>
      </c>
      <c r="H156" s="2" t="n">
        <v>16</v>
      </c>
      <c r="I156" s="2" t="n">
        <v>5</v>
      </c>
      <c r="J156" s="2" t="n">
        <f aca="false">F156+G156+H156</f>
        <v>72</v>
      </c>
      <c r="K156" s="3" t="n">
        <f aca="false">J156/D156</f>
        <v>0.0702439024390244</v>
      </c>
    </row>
    <row r="157" customFormat="false" ht="15" hidden="false" customHeight="false" outlineLevel="0" collapsed="false">
      <c r="A157" s="2" t="s">
        <v>131</v>
      </c>
      <c r="B157" s="2" t="s">
        <v>19</v>
      </c>
      <c r="C157" s="2" t="s">
        <v>18</v>
      </c>
      <c r="D157" s="2" t="n">
        <v>1837</v>
      </c>
      <c r="E157" s="2" t="n">
        <v>2347</v>
      </c>
      <c r="F157" s="2" t="n">
        <v>52</v>
      </c>
      <c r="G157" s="2" t="n">
        <v>4</v>
      </c>
      <c r="H157" s="2" t="n">
        <v>25</v>
      </c>
      <c r="I157" s="2" t="n">
        <v>3</v>
      </c>
      <c r="J157" s="2" t="n">
        <f aca="false">F157+G157+H157</f>
        <v>81</v>
      </c>
      <c r="K157" s="3" t="n">
        <f aca="false">J157/D157</f>
        <v>0.0440936309199782</v>
      </c>
    </row>
    <row r="158" customFormat="false" ht="15" hidden="false" customHeight="false" outlineLevel="0" collapsed="false">
      <c r="A158" s="2" t="s">
        <v>132</v>
      </c>
      <c r="B158" s="2" t="s">
        <v>22</v>
      </c>
      <c r="C158" s="2" t="s">
        <v>20</v>
      </c>
      <c r="D158" s="2" t="n">
        <v>3031</v>
      </c>
      <c r="E158" s="2" t="n">
        <v>3763</v>
      </c>
      <c r="F158" s="2" t="n">
        <v>102</v>
      </c>
      <c r="G158" s="2" t="n">
        <v>11</v>
      </c>
      <c r="H158" s="2" t="n">
        <v>52</v>
      </c>
      <c r="I158" s="2" t="n">
        <v>10</v>
      </c>
      <c r="J158" s="2" t="n">
        <f aca="false">F158+G158+H158</f>
        <v>165</v>
      </c>
      <c r="K158" s="3" t="n">
        <f aca="false">J158/D158</f>
        <v>0.0544374793797427</v>
      </c>
    </row>
    <row r="159" customFormat="false" ht="15" hidden="false" customHeight="false" outlineLevel="0" collapsed="false">
      <c r="A159" s="2" t="s">
        <v>133</v>
      </c>
      <c r="B159" s="2" t="s">
        <v>15</v>
      </c>
      <c r="C159" s="2" t="s">
        <v>13</v>
      </c>
      <c r="D159" s="2" t="n">
        <v>3077</v>
      </c>
      <c r="E159" s="2" t="n">
        <v>4091</v>
      </c>
      <c r="F159" s="2" t="n">
        <v>120</v>
      </c>
      <c r="G159" s="2" t="n">
        <v>19</v>
      </c>
      <c r="H159" s="2" t="n">
        <v>42</v>
      </c>
      <c r="I159" s="2" t="n">
        <v>8</v>
      </c>
      <c r="J159" s="2" t="n">
        <f aca="false">F159+G159+H159</f>
        <v>181</v>
      </c>
      <c r="K159" s="3" t="n">
        <f aca="false">J159/D159</f>
        <v>0.0588235294117647</v>
      </c>
    </row>
    <row r="160" customFormat="false" ht="15" hidden="false" customHeight="false" outlineLevel="0" collapsed="false">
      <c r="A160" s="2" t="s">
        <v>133</v>
      </c>
      <c r="B160" s="2" t="s">
        <v>15</v>
      </c>
      <c r="C160" s="2" t="s">
        <v>13</v>
      </c>
      <c r="D160" s="2" t="n">
        <v>5161</v>
      </c>
      <c r="E160" s="2" t="n">
        <v>7349</v>
      </c>
      <c r="F160" s="2" t="n">
        <v>245</v>
      </c>
      <c r="G160" s="2" t="n">
        <v>48</v>
      </c>
      <c r="H160" s="2" t="n">
        <v>48</v>
      </c>
      <c r="I160" s="2" t="n">
        <v>19</v>
      </c>
      <c r="J160" s="2" t="n">
        <f aca="false">F160+G160+H160</f>
        <v>341</v>
      </c>
      <c r="K160" s="3" t="n">
        <f aca="false">J160/D160</f>
        <v>0.0660724665762449</v>
      </c>
    </row>
    <row r="161" customFormat="false" ht="15" hidden="false" customHeight="false" outlineLevel="0" collapsed="false">
      <c r="A161" s="2" t="s">
        <v>133</v>
      </c>
      <c r="B161" s="2" t="s">
        <v>19</v>
      </c>
      <c r="C161" s="2" t="s">
        <v>16</v>
      </c>
      <c r="D161" s="2" t="n">
        <v>2971</v>
      </c>
      <c r="E161" s="2" t="n">
        <v>4588</v>
      </c>
      <c r="F161" s="2" t="n">
        <v>47</v>
      </c>
      <c r="G161" s="2" t="n">
        <v>9</v>
      </c>
      <c r="H161" s="2" t="n">
        <v>21</v>
      </c>
      <c r="I161" s="2" t="n">
        <v>4</v>
      </c>
      <c r="J161" s="2" t="n">
        <f aca="false">F161+G161+H161</f>
        <v>77</v>
      </c>
      <c r="K161" s="3" t="n">
        <f aca="false">J161/D161</f>
        <v>0.0259171995960956</v>
      </c>
    </row>
    <row r="162" customFormat="false" ht="15" hidden="false" customHeight="false" outlineLevel="0" collapsed="false">
      <c r="A162" s="2" t="s">
        <v>134</v>
      </c>
      <c r="B162" s="2" t="s">
        <v>26</v>
      </c>
      <c r="C162" s="2" t="s">
        <v>23</v>
      </c>
      <c r="D162" s="2" t="n">
        <v>6392</v>
      </c>
      <c r="E162" s="2" t="n">
        <v>9237</v>
      </c>
      <c r="F162" s="2" t="n">
        <v>212</v>
      </c>
      <c r="G162" s="2" t="n">
        <v>38</v>
      </c>
      <c r="H162" s="2" t="n">
        <v>43</v>
      </c>
      <c r="I162" s="2" t="n">
        <v>16</v>
      </c>
      <c r="J162" s="2" t="n">
        <f aca="false">F162+G162+H162</f>
        <v>293</v>
      </c>
      <c r="K162" s="3" t="n">
        <f aca="false">J162/D162</f>
        <v>0.0458385481852315</v>
      </c>
    </row>
    <row r="163" customFormat="false" ht="15" hidden="false" customHeight="false" outlineLevel="0" collapsed="false">
      <c r="A163" s="2" t="s">
        <v>134</v>
      </c>
      <c r="B163" s="2" t="s">
        <v>15</v>
      </c>
      <c r="C163" s="2" t="s">
        <v>20</v>
      </c>
      <c r="D163" s="2" t="n">
        <v>935</v>
      </c>
      <c r="E163" s="2" t="n">
        <v>1153</v>
      </c>
      <c r="F163" s="2" t="n">
        <v>13</v>
      </c>
      <c r="G163" s="2" t="n">
        <v>2</v>
      </c>
      <c r="H163" s="2" t="n">
        <v>6</v>
      </c>
      <c r="I163" s="2" t="n">
        <v>1</v>
      </c>
      <c r="J163" s="2" t="n">
        <f aca="false">F163+G163+H163</f>
        <v>21</v>
      </c>
      <c r="K163" s="3" t="n">
        <f aca="false">J163/D163</f>
        <v>0.0224598930481283</v>
      </c>
    </row>
    <row r="164" customFormat="false" ht="15" hidden="false" customHeight="false" outlineLevel="0" collapsed="false">
      <c r="A164" s="2" t="s">
        <v>135</v>
      </c>
      <c r="B164" s="2" t="s">
        <v>26</v>
      </c>
      <c r="C164" s="2" t="s">
        <v>23</v>
      </c>
      <c r="D164" s="2" t="n">
        <v>1726</v>
      </c>
      <c r="E164" s="2" t="n">
        <v>2332</v>
      </c>
      <c r="F164" s="2" t="n">
        <v>24</v>
      </c>
      <c r="G164" s="2" t="n">
        <v>4</v>
      </c>
      <c r="H164" s="2" t="n">
        <v>8</v>
      </c>
      <c r="I164" s="2" t="n">
        <v>3</v>
      </c>
      <c r="J164" s="2" t="n">
        <f aca="false">F164+G164+H164</f>
        <v>36</v>
      </c>
      <c r="K164" s="3" t="n">
        <f aca="false">J164/D164</f>
        <v>0.0208574739281576</v>
      </c>
    </row>
    <row r="165" customFormat="false" ht="15" hidden="false" customHeight="false" outlineLevel="0" collapsed="false">
      <c r="A165" s="2" t="s">
        <v>136</v>
      </c>
      <c r="B165" s="2" t="s">
        <v>15</v>
      </c>
      <c r="C165" s="2" t="s">
        <v>23</v>
      </c>
      <c r="D165" s="2" t="n">
        <v>2570</v>
      </c>
      <c r="E165" s="2" t="n">
        <v>3201</v>
      </c>
      <c r="F165" s="2" t="n">
        <v>48</v>
      </c>
      <c r="G165" s="2" t="n">
        <v>4</v>
      </c>
      <c r="H165" s="2" t="n">
        <v>27</v>
      </c>
      <c r="I165" s="2" t="n">
        <v>5</v>
      </c>
      <c r="J165" s="2" t="n">
        <f aca="false">F165+G165+H165</f>
        <v>79</v>
      </c>
      <c r="K165" s="3" t="n">
        <f aca="false">J165/D165</f>
        <v>0.0307392996108949</v>
      </c>
    </row>
    <row r="166" customFormat="false" ht="15" hidden="false" customHeight="false" outlineLevel="0" collapsed="false">
      <c r="A166" s="2" t="s">
        <v>137</v>
      </c>
      <c r="B166" s="2" t="s">
        <v>15</v>
      </c>
      <c r="C166" s="2" t="s">
        <v>13</v>
      </c>
      <c r="D166" s="2" t="n">
        <v>4181</v>
      </c>
      <c r="E166" s="2" t="n">
        <v>6162</v>
      </c>
      <c r="F166" s="2" t="n">
        <v>110</v>
      </c>
      <c r="G166" s="2" t="n">
        <v>11</v>
      </c>
      <c r="H166" s="2" t="n">
        <v>34</v>
      </c>
      <c r="I166" s="2" t="n">
        <v>4</v>
      </c>
      <c r="J166" s="2" t="n">
        <f aca="false">F166+G166+H166</f>
        <v>155</v>
      </c>
      <c r="K166" s="3" t="n">
        <f aca="false">J166/D166</f>
        <v>0.0370724707007893</v>
      </c>
    </row>
    <row r="167" customFormat="false" ht="15" hidden="false" customHeight="false" outlineLevel="0" collapsed="false">
      <c r="A167" s="2" t="s">
        <v>137</v>
      </c>
      <c r="B167" s="2" t="s">
        <v>12</v>
      </c>
      <c r="C167" s="2" t="s">
        <v>18</v>
      </c>
      <c r="D167" s="2" t="n">
        <v>1497</v>
      </c>
      <c r="E167" s="2" t="n">
        <v>2213</v>
      </c>
      <c r="F167" s="2" t="n">
        <v>27</v>
      </c>
      <c r="G167" s="2" t="n">
        <v>5</v>
      </c>
      <c r="H167" s="2" t="n">
        <v>7</v>
      </c>
      <c r="I167" s="2" t="n">
        <v>2</v>
      </c>
      <c r="J167" s="2" t="n">
        <f aca="false">F167+G167+H167</f>
        <v>39</v>
      </c>
      <c r="K167" s="3" t="n">
        <f aca="false">J167/D167</f>
        <v>0.0260521042084168</v>
      </c>
    </row>
    <row r="168" customFormat="false" ht="15" hidden="false" customHeight="false" outlineLevel="0" collapsed="false">
      <c r="A168" s="2" t="s">
        <v>137</v>
      </c>
      <c r="B168" s="2" t="s">
        <v>26</v>
      </c>
      <c r="C168" s="2" t="s">
        <v>20</v>
      </c>
      <c r="D168" s="2" t="n">
        <v>6275</v>
      </c>
      <c r="E168" s="2" t="n">
        <v>7307</v>
      </c>
      <c r="F168" s="2" t="n">
        <v>111</v>
      </c>
      <c r="G168" s="2" t="n">
        <v>18</v>
      </c>
      <c r="H168" s="2" t="n">
        <v>23</v>
      </c>
      <c r="I168" s="2" t="n">
        <v>9</v>
      </c>
      <c r="J168" s="2" t="n">
        <f aca="false">F168+G168+H168</f>
        <v>152</v>
      </c>
      <c r="K168" s="3" t="n">
        <f aca="false">J168/D168</f>
        <v>0.0242231075697211</v>
      </c>
    </row>
    <row r="169" customFormat="false" ht="15" hidden="false" customHeight="false" outlineLevel="0" collapsed="false">
      <c r="A169" s="2" t="s">
        <v>138</v>
      </c>
      <c r="B169" s="2" t="s">
        <v>19</v>
      </c>
      <c r="C169" s="2" t="s">
        <v>23</v>
      </c>
      <c r="D169" s="2" t="n">
        <v>1612</v>
      </c>
      <c r="E169" s="2" t="n">
        <v>2296</v>
      </c>
      <c r="F169" s="2" t="n">
        <v>50</v>
      </c>
      <c r="G169" s="2" t="n">
        <v>8</v>
      </c>
      <c r="H169" s="2" t="n">
        <v>10</v>
      </c>
      <c r="I169" s="2" t="n">
        <v>3</v>
      </c>
      <c r="J169" s="2" t="n">
        <f aca="false">F169+G169+H169</f>
        <v>68</v>
      </c>
      <c r="K169" s="3" t="n">
        <f aca="false">J169/D169</f>
        <v>0.0421836228287841</v>
      </c>
    </row>
    <row r="170" customFormat="false" ht="15" hidden="false" customHeight="false" outlineLevel="0" collapsed="false">
      <c r="A170" s="2" t="s">
        <v>139</v>
      </c>
      <c r="B170" s="2" t="s">
        <v>15</v>
      </c>
      <c r="C170" s="2" t="s">
        <v>18</v>
      </c>
      <c r="D170" s="2" t="n">
        <v>3000</v>
      </c>
      <c r="E170" s="2" t="n">
        <v>3971</v>
      </c>
      <c r="F170" s="2" t="n">
        <v>167</v>
      </c>
      <c r="G170" s="2" t="n">
        <v>29</v>
      </c>
      <c r="H170" s="2" t="n">
        <v>29</v>
      </c>
      <c r="I170" s="2" t="n">
        <v>12</v>
      </c>
      <c r="J170" s="2" t="n">
        <f aca="false">F170+G170+H170</f>
        <v>225</v>
      </c>
      <c r="K170" s="3" t="n">
        <f aca="false">J170/D170</f>
        <v>0.075</v>
      </c>
    </row>
    <row r="171" customFormat="false" ht="15" hidden="false" customHeight="false" outlineLevel="0" collapsed="false">
      <c r="A171" s="2" t="s">
        <v>139</v>
      </c>
      <c r="B171" s="2" t="s">
        <v>15</v>
      </c>
      <c r="C171" s="2" t="s">
        <v>13</v>
      </c>
      <c r="D171" s="2" t="n">
        <v>2939</v>
      </c>
      <c r="E171" s="2" t="n">
        <v>4202</v>
      </c>
      <c r="F171" s="2" t="n">
        <v>139</v>
      </c>
      <c r="G171" s="2" t="n">
        <v>21</v>
      </c>
      <c r="H171" s="2" t="n">
        <v>33</v>
      </c>
      <c r="I171" s="2" t="n">
        <v>14</v>
      </c>
      <c r="J171" s="2" t="n">
        <f aca="false">F171+G171+H171</f>
        <v>193</v>
      </c>
      <c r="K171" s="3" t="n">
        <f aca="false">J171/D171</f>
        <v>0.0656685947601225</v>
      </c>
    </row>
    <row r="172" customFormat="false" ht="15" hidden="false" customHeight="false" outlineLevel="0" collapsed="false">
      <c r="A172" s="2" t="s">
        <v>139</v>
      </c>
      <c r="B172" s="2" t="s">
        <v>12</v>
      </c>
      <c r="C172" s="2" t="s">
        <v>13</v>
      </c>
      <c r="D172" s="2" t="n">
        <v>1759</v>
      </c>
      <c r="E172" s="2" t="n">
        <v>2267</v>
      </c>
      <c r="F172" s="2" t="n">
        <v>65</v>
      </c>
      <c r="G172" s="2" t="n">
        <v>8</v>
      </c>
      <c r="H172" s="2" t="n">
        <v>15</v>
      </c>
      <c r="I172" s="2" t="n">
        <v>5</v>
      </c>
      <c r="J172" s="2" t="n">
        <f aca="false">F172+G172+H172</f>
        <v>88</v>
      </c>
      <c r="K172" s="3" t="n">
        <f aca="false">J172/D172</f>
        <v>0.0500284252416146</v>
      </c>
    </row>
    <row r="173" customFormat="false" ht="15" hidden="false" customHeight="false" outlineLevel="0" collapsed="false">
      <c r="A173" s="2" t="s">
        <v>140</v>
      </c>
      <c r="B173" s="2" t="s">
        <v>15</v>
      </c>
      <c r="C173" s="2" t="s">
        <v>23</v>
      </c>
      <c r="D173" s="2" t="n">
        <v>2343</v>
      </c>
      <c r="E173" s="2" t="n">
        <v>2860</v>
      </c>
      <c r="F173" s="2" t="n">
        <v>141</v>
      </c>
      <c r="G173" s="2" t="n">
        <v>25</v>
      </c>
      <c r="H173" s="2" t="n">
        <v>32</v>
      </c>
      <c r="I173" s="2" t="n">
        <v>7</v>
      </c>
      <c r="J173" s="2" t="n">
        <f aca="false">F173+G173+H173</f>
        <v>198</v>
      </c>
      <c r="K173" s="3" t="n">
        <f aca="false">J173/D173</f>
        <v>0.0845070422535211</v>
      </c>
    </row>
    <row r="174" customFormat="false" ht="15" hidden="false" customHeight="false" outlineLevel="0" collapsed="false">
      <c r="A174" s="2" t="s">
        <v>141</v>
      </c>
      <c r="B174" s="2" t="s">
        <v>26</v>
      </c>
      <c r="C174" s="2" t="s">
        <v>18</v>
      </c>
      <c r="D174" s="2" t="n">
        <v>6142</v>
      </c>
      <c r="E174" s="2" t="n">
        <v>9294</v>
      </c>
      <c r="F174" s="2" t="n">
        <v>307</v>
      </c>
      <c r="G174" s="2" t="n">
        <v>35</v>
      </c>
      <c r="H174" s="2" t="n">
        <v>75</v>
      </c>
      <c r="I174" s="2" t="n">
        <v>10</v>
      </c>
      <c r="J174" s="2" t="n">
        <f aca="false">F174+G174+H174</f>
        <v>417</v>
      </c>
      <c r="K174" s="3" t="n">
        <f aca="false">J174/D174</f>
        <v>0.0678931943992185</v>
      </c>
    </row>
    <row r="175" customFormat="false" ht="15" hidden="false" customHeight="false" outlineLevel="0" collapsed="false">
      <c r="A175" s="2" t="s">
        <v>141</v>
      </c>
      <c r="B175" s="2" t="s">
        <v>19</v>
      </c>
      <c r="C175" s="2" t="s">
        <v>23</v>
      </c>
      <c r="D175" s="2" t="n">
        <v>3438</v>
      </c>
      <c r="E175" s="2" t="n">
        <v>4264</v>
      </c>
      <c r="F175" s="2" t="n">
        <v>184</v>
      </c>
      <c r="G175" s="2" t="n">
        <v>18</v>
      </c>
      <c r="H175" s="2" t="n">
        <v>47</v>
      </c>
      <c r="I175" s="2" t="n">
        <v>14</v>
      </c>
      <c r="J175" s="2" t="n">
        <f aca="false">F175+G175+H175</f>
        <v>249</v>
      </c>
      <c r="K175" s="3" t="n">
        <f aca="false">J175/D175</f>
        <v>0.0724258289703316</v>
      </c>
    </row>
    <row r="176" customFormat="false" ht="15" hidden="false" customHeight="false" outlineLevel="0" collapsed="false">
      <c r="A176" s="2" t="s">
        <v>142</v>
      </c>
      <c r="B176" s="2" t="s">
        <v>15</v>
      </c>
      <c r="C176" s="2" t="s">
        <v>13</v>
      </c>
      <c r="D176" s="2" t="n">
        <v>5269</v>
      </c>
      <c r="E176" s="2" t="n">
        <v>6267</v>
      </c>
      <c r="F176" s="2" t="n">
        <v>288</v>
      </c>
      <c r="G176" s="2" t="n">
        <v>30</v>
      </c>
      <c r="H176" s="2" t="n">
        <v>85</v>
      </c>
      <c r="I176" s="2" t="n">
        <v>22</v>
      </c>
      <c r="J176" s="2" t="n">
        <f aca="false">F176+G176+H176</f>
        <v>403</v>
      </c>
      <c r="K176" s="3" t="n">
        <f aca="false">J176/D176</f>
        <v>0.0764851015372936</v>
      </c>
    </row>
    <row r="177" customFormat="false" ht="15" hidden="false" customHeight="false" outlineLevel="0" collapsed="false">
      <c r="A177" s="2" t="s">
        <v>143</v>
      </c>
      <c r="B177" s="2" t="s">
        <v>19</v>
      </c>
      <c r="C177" s="2" t="s">
        <v>18</v>
      </c>
      <c r="D177" s="2" t="n">
        <v>1282</v>
      </c>
      <c r="E177" s="2" t="n">
        <v>1597</v>
      </c>
      <c r="F177" s="2" t="n">
        <v>25</v>
      </c>
      <c r="G177" s="2" t="n">
        <v>3</v>
      </c>
      <c r="H177" s="2" t="n">
        <v>6</v>
      </c>
      <c r="I177" s="2" t="n">
        <v>2</v>
      </c>
      <c r="J177" s="2" t="n">
        <f aca="false">F177+G177+H177</f>
        <v>34</v>
      </c>
      <c r="K177" s="3" t="n">
        <f aca="false">J177/D177</f>
        <v>0.0265210608424337</v>
      </c>
    </row>
    <row r="178" customFormat="false" ht="15" hidden="false" customHeight="false" outlineLevel="0" collapsed="false">
      <c r="A178" s="2" t="s">
        <v>144</v>
      </c>
      <c r="B178" s="2" t="s">
        <v>26</v>
      </c>
      <c r="C178" s="2" t="s">
        <v>18</v>
      </c>
      <c r="D178" s="2" t="n">
        <v>14714</v>
      </c>
      <c r="E178" s="2" t="n">
        <v>19398</v>
      </c>
      <c r="F178" s="2" t="n">
        <v>281</v>
      </c>
      <c r="G178" s="2" t="n">
        <v>52</v>
      </c>
      <c r="H178" s="2" t="n">
        <v>71</v>
      </c>
      <c r="I178" s="2" t="n">
        <v>12</v>
      </c>
      <c r="J178" s="2" t="n">
        <f aca="false">F178+G178+H178</f>
        <v>404</v>
      </c>
      <c r="K178" s="3" t="n">
        <f aca="false">J178/D178</f>
        <v>0.0274568438222101</v>
      </c>
    </row>
    <row r="179" customFormat="false" ht="15" hidden="false" customHeight="false" outlineLevel="0" collapsed="false">
      <c r="A179" s="2" t="s">
        <v>144</v>
      </c>
      <c r="B179" s="2" t="s">
        <v>19</v>
      </c>
      <c r="C179" s="2" t="s">
        <v>20</v>
      </c>
      <c r="D179" s="2" t="n">
        <v>2732</v>
      </c>
      <c r="E179" s="2" t="n">
        <v>3487</v>
      </c>
      <c r="F179" s="2" t="n">
        <v>105</v>
      </c>
      <c r="G179" s="2" t="n">
        <v>12</v>
      </c>
      <c r="H179" s="2" t="n">
        <v>54</v>
      </c>
      <c r="I179" s="2" t="n">
        <v>12</v>
      </c>
      <c r="J179" s="2" t="n">
        <f aca="false">F179+G179+H179</f>
        <v>171</v>
      </c>
      <c r="K179" s="3" t="n">
        <f aca="false">J179/D179</f>
        <v>0.0625915080527086</v>
      </c>
    </row>
    <row r="180" customFormat="false" ht="15" hidden="false" customHeight="false" outlineLevel="0" collapsed="false">
      <c r="A180" s="2" t="s">
        <v>145</v>
      </c>
      <c r="B180" s="2" t="s">
        <v>15</v>
      </c>
      <c r="C180" s="2" t="s">
        <v>13</v>
      </c>
      <c r="D180" s="2" t="n">
        <v>7489</v>
      </c>
      <c r="E180" s="2" t="n">
        <v>11372</v>
      </c>
      <c r="F180" s="2" t="n">
        <v>418</v>
      </c>
      <c r="G180" s="2" t="n">
        <v>35</v>
      </c>
      <c r="H180" s="2" t="n">
        <v>202</v>
      </c>
      <c r="I180" s="2" t="n">
        <v>21</v>
      </c>
      <c r="J180" s="2" t="n">
        <f aca="false">F180+G180+H180</f>
        <v>655</v>
      </c>
      <c r="K180" s="3" t="n">
        <f aca="false">J180/D180</f>
        <v>0.0874616103618641</v>
      </c>
    </row>
    <row r="181" customFormat="false" ht="15" hidden="false" customHeight="false" outlineLevel="0" collapsed="false">
      <c r="A181" s="2" t="s">
        <v>145</v>
      </c>
      <c r="B181" s="2" t="s">
        <v>15</v>
      </c>
      <c r="C181" s="2" t="s">
        <v>13</v>
      </c>
      <c r="D181" s="2" t="n">
        <v>3844</v>
      </c>
      <c r="E181" s="2" t="n">
        <v>4468</v>
      </c>
      <c r="F181" s="2" t="n">
        <v>56</v>
      </c>
      <c r="G181" s="2" t="n">
        <v>10</v>
      </c>
      <c r="H181" s="2" t="n">
        <v>20</v>
      </c>
      <c r="I181" s="2" t="n">
        <v>4</v>
      </c>
      <c r="J181" s="2" t="n">
        <f aca="false">F181+G181+H181</f>
        <v>86</v>
      </c>
      <c r="K181" s="3" t="n">
        <f aca="false">J181/D181</f>
        <v>0.022372528616025</v>
      </c>
    </row>
    <row r="182" customFormat="false" ht="15" hidden="false" customHeight="false" outlineLevel="0" collapsed="false">
      <c r="A182" s="2" t="s">
        <v>145</v>
      </c>
      <c r="B182" s="2" t="s">
        <v>26</v>
      </c>
      <c r="C182" s="2" t="s">
        <v>13</v>
      </c>
      <c r="D182" s="2" t="n">
        <v>9070</v>
      </c>
      <c r="E182" s="2" t="n">
        <v>14194</v>
      </c>
      <c r="F182" s="2" t="n">
        <v>387</v>
      </c>
      <c r="G182" s="2" t="n">
        <v>52</v>
      </c>
      <c r="H182" s="2" t="n">
        <v>191</v>
      </c>
      <c r="I182" s="2" t="n">
        <v>21</v>
      </c>
      <c r="J182" s="2" t="n">
        <f aca="false">F182+G182+H182</f>
        <v>630</v>
      </c>
      <c r="K182" s="3" t="n">
        <f aca="false">J182/D182</f>
        <v>0.0694597574421169</v>
      </c>
    </row>
    <row r="183" customFormat="false" ht="15" hidden="false" customHeight="false" outlineLevel="0" collapsed="false">
      <c r="A183" s="2" t="s">
        <v>146</v>
      </c>
      <c r="B183" s="2" t="s">
        <v>19</v>
      </c>
      <c r="C183" s="2" t="s">
        <v>18</v>
      </c>
      <c r="D183" s="2" t="n">
        <v>1273</v>
      </c>
      <c r="E183" s="2" t="n">
        <v>1721</v>
      </c>
      <c r="F183" s="2" t="n">
        <v>30</v>
      </c>
      <c r="G183" s="2" t="n">
        <v>6</v>
      </c>
      <c r="H183" s="2" t="n">
        <v>4</v>
      </c>
      <c r="I183" s="2" t="n">
        <v>1</v>
      </c>
      <c r="J183" s="2" t="n">
        <f aca="false">F183+G183+H183</f>
        <v>40</v>
      </c>
      <c r="K183" s="3" t="n">
        <f aca="false">J183/D183</f>
        <v>0.0314218381775334</v>
      </c>
    </row>
    <row r="184" customFormat="false" ht="15" hidden="false" customHeight="false" outlineLevel="0" collapsed="false">
      <c r="A184" s="2" t="s">
        <v>146</v>
      </c>
      <c r="B184" s="2" t="s">
        <v>15</v>
      </c>
      <c r="C184" s="2" t="s">
        <v>20</v>
      </c>
      <c r="D184" s="2" t="n">
        <v>5334</v>
      </c>
      <c r="E184" s="2" t="n">
        <v>7461</v>
      </c>
      <c r="F184" s="2" t="n">
        <v>86</v>
      </c>
      <c r="G184" s="2" t="n">
        <v>9</v>
      </c>
      <c r="H184" s="2" t="n">
        <v>22</v>
      </c>
      <c r="I184" s="2" t="n">
        <v>6</v>
      </c>
      <c r="J184" s="2" t="n">
        <f aca="false">F184+G184+H184</f>
        <v>117</v>
      </c>
      <c r="K184" s="3" t="n">
        <f aca="false">J184/D184</f>
        <v>0.0219347581552306</v>
      </c>
    </row>
    <row r="185" customFormat="false" ht="15" hidden="false" customHeight="false" outlineLevel="0" collapsed="false">
      <c r="A185" s="2" t="s">
        <v>146</v>
      </c>
      <c r="B185" s="2" t="s">
        <v>12</v>
      </c>
      <c r="C185" s="2" t="s">
        <v>23</v>
      </c>
      <c r="D185" s="2" t="n">
        <v>1634</v>
      </c>
      <c r="E185" s="2" t="n">
        <v>1920</v>
      </c>
      <c r="F185" s="2" t="n">
        <v>35</v>
      </c>
      <c r="G185" s="2" t="n">
        <v>7</v>
      </c>
      <c r="H185" s="2" t="n">
        <v>7</v>
      </c>
      <c r="I185" s="2" t="n">
        <v>3</v>
      </c>
      <c r="J185" s="2" t="n">
        <f aca="false">F185+G185+H185</f>
        <v>49</v>
      </c>
      <c r="K185" s="3" t="n">
        <f aca="false">J185/D185</f>
        <v>0.0299877600979192</v>
      </c>
    </row>
    <row r="186" customFormat="false" ht="15" hidden="false" customHeight="false" outlineLevel="0" collapsed="false">
      <c r="A186" s="2" t="s">
        <v>147</v>
      </c>
      <c r="B186" s="2" t="s">
        <v>12</v>
      </c>
      <c r="C186" s="2" t="s">
        <v>13</v>
      </c>
      <c r="D186" s="2" t="n">
        <v>1143</v>
      </c>
      <c r="E186" s="2" t="n">
        <v>1515</v>
      </c>
      <c r="F186" s="2" t="n">
        <v>35</v>
      </c>
      <c r="G186" s="2" t="n">
        <v>5</v>
      </c>
      <c r="H186" s="2" t="n">
        <v>13</v>
      </c>
      <c r="I186" s="2" t="n">
        <v>4</v>
      </c>
      <c r="J186" s="2" t="n">
        <f aca="false">F186+G186+H186</f>
        <v>53</v>
      </c>
      <c r="K186" s="3" t="n">
        <f aca="false">J186/D186</f>
        <v>0.0463692038495188</v>
      </c>
    </row>
    <row r="187" customFormat="false" ht="15" hidden="false" customHeight="false" outlineLevel="0" collapsed="false">
      <c r="A187" s="2" t="s">
        <v>148</v>
      </c>
      <c r="B187" s="2" t="s">
        <v>12</v>
      </c>
      <c r="C187" s="2" t="s">
        <v>18</v>
      </c>
      <c r="D187" s="2" t="n">
        <v>1816</v>
      </c>
      <c r="E187" s="2" t="n">
        <v>2846</v>
      </c>
      <c r="F187" s="2" t="n">
        <v>47</v>
      </c>
      <c r="G187" s="2" t="n">
        <v>9</v>
      </c>
      <c r="H187" s="2" t="n">
        <v>8</v>
      </c>
      <c r="I187" s="2" t="n">
        <v>5</v>
      </c>
      <c r="J187" s="2" t="n">
        <f aca="false">F187+G187+H187</f>
        <v>64</v>
      </c>
      <c r="K187" s="3" t="n">
        <f aca="false">J187/D187</f>
        <v>0.0352422907488987</v>
      </c>
    </row>
    <row r="188" customFormat="false" ht="15" hidden="false" customHeight="false" outlineLevel="0" collapsed="false">
      <c r="A188" s="2" t="s">
        <v>148</v>
      </c>
      <c r="B188" s="2" t="s">
        <v>15</v>
      </c>
      <c r="C188" s="2" t="s">
        <v>23</v>
      </c>
      <c r="D188" s="2" t="n">
        <v>8479</v>
      </c>
      <c r="E188" s="2" t="n">
        <v>11220</v>
      </c>
      <c r="F188" s="2" t="n">
        <v>111</v>
      </c>
      <c r="G188" s="2" t="n">
        <v>27</v>
      </c>
      <c r="H188" s="2" t="n">
        <v>44</v>
      </c>
      <c r="I188" s="2" t="n">
        <v>7</v>
      </c>
      <c r="J188" s="2" t="n">
        <f aca="false">F188+G188+H188</f>
        <v>182</v>
      </c>
      <c r="K188" s="3" t="n">
        <f aca="false">J188/D188</f>
        <v>0.0214647953768133</v>
      </c>
    </row>
    <row r="189" customFormat="false" ht="15" hidden="false" customHeight="false" outlineLevel="0" collapsed="false">
      <c r="A189" s="2" t="s">
        <v>148</v>
      </c>
      <c r="B189" s="2" t="s">
        <v>15</v>
      </c>
      <c r="C189" s="2" t="s">
        <v>13</v>
      </c>
      <c r="D189" s="2" t="n">
        <v>3790</v>
      </c>
      <c r="E189" s="2" t="n">
        <v>5430</v>
      </c>
      <c r="F189" s="2" t="n">
        <v>72</v>
      </c>
      <c r="G189" s="2" t="n">
        <v>6</v>
      </c>
      <c r="H189" s="2" t="n">
        <v>36</v>
      </c>
      <c r="I189" s="2" t="n">
        <v>7</v>
      </c>
      <c r="J189" s="2" t="n">
        <f aca="false">F189+G189+H189</f>
        <v>114</v>
      </c>
      <c r="K189" s="3" t="n">
        <f aca="false">J189/D189</f>
        <v>0.0300791556728232</v>
      </c>
    </row>
    <row r="190" customFormat="false" ht="15" hidden="false" customHeight="false" outlineLevel="0" collapsed="false">
      <c r="A190" s="2" t="s">
        <v>149</v>
      </c>
      <c r="B190" s="2" t="s">
        <v>15</v>
      </c>
      <c r="C190" s="2" t="s">
        <v>23</v>
      </c>
      <c r="D190" s="2" t="n">
        <v>4796</v>
      </c>
      <c r="E190" s="2" t="n">
        <v>6748</v>
      </c>
      <c r="F190" s="2" t="n">
        <v>141</v>
      </c>
      <c r="G190" s="2" t="n">
        <v>15</v>
      </c>
      <c r="H190" s="2" t="n">
        <v>39</v>
      </c>
      <c r="I190" s="2" t="n">
        <v>5</v>
      </c>
      <c r="J190" s="2" t="n">
        <f aca="false">F190+G190+H190</f>
        <v>195</v>
      </c>
      <c r="K190" s="3" t="n">
        <f aca="false">J190/D190</f>
        <v>0.0406588824020017</v>
      </c>
    </row>
    <row r="191" customFormat="false" ht="15" hidden="false" customHeight="false" outlineLevel="0" collapsed="false">
      <c r="A191" s="2" t="s">
        <v>149</v>
      </c>
      <c r="B191" s="2" t="s">
        <v>22</v>
      </c>
      <c r="C191" s="2" t="s">
        <v>23</v>
      </c>
      <c r="D191" s="2" t="n">
        <v>3199</v>
      </c>
      <c r="E191" s="2" t="n">
        <v>3843</v>
      </c>
      <c r="F191" s="2" t="n">
        <v>172</v>
      </c>
      <c r="G191" s="2" t="n">
        <v>39</v>
      </c>
      <c r="H191" s="2" t="n">
        <v>72</v>
      </c>
      <c r="I191" s="2" t="n">
        <v>17</v>
      </c>
      <c r="J191" s="2" t="n">
        <f aca="false">F191+G191+H191</f>
        <v>283</v>
      </c>
      <c r="K191" s="3" t="n">
        <f aca="false">J191/D191</f>
        <v>0.0884651453579244</v>
      </c>
    </row>
    <row r="192" customFormat="false" ht="15" hidden="false" customHeight="false" outlineLevel="0" collapsed="false">
      <c r="A192" s="2" t="s">
        <v>150</v>
      </c>
      <c r="B192" s="2" t="s">
        <v>15</v>
      </c>
      <c r="C192" s="2" t="s">
        <v>20</v>
      </c>
      <c r="D192" s="2" t="n">
        <v>4924</v>
      </c>
      <c r="E192" s="2" t="n">
        <v>6620</v>
      </c>
      <c r="F192" s="2" t="n">
        <v>120</v>
      </c>
      <c r="G192" s="2" t="n">
        <v>14</v>
      </c>
      <c r="H192" s="2" t="n">
        <v>55</v>
      </c>
      <c r="I192" s="2" t="n">
        <v>8</v>
      </c>
      <c r="J192" s="2" t="n">
        <f aca="false">F192+G192+H192</f>
        <v>189</v>
      </c>
      <c r="K192" s="3" t="n">
        <f aca="false">J192/D192</f>
        <v>0.0383834281072299</v>
      </c>
    </row>
    <row r="193" customFormat="false" ht="15" hidden="false" customHeight="false" outlineLevel="0" collapsed="false">
      <c r="A193" s="2" t="s">
        <v>151</v>
      </c>
      <c r="B193" s="2" t="s">
        <v>26</v>
      </c>
      <c r="C193" s="2" t="s">
        <v>20</v>
      </c>
      <c r="D193" s="2" t="n">
        <v>482</v>
      </c>
      <c r="E193" s="2" t="n">
        <v>586</v>
      </c>
      <c r="F193" s="2" t="n">
        <v>21</v>
      </c>
      <c r="G193" s="2" t="n">
        <v>3</v>
      </c>
      <c r="H193" s="2" t="n">
        <v>7</v>
      </c>
      <c r="I193" s="2" t="n">
        <v>2</v>
      </c>
      <c r="J193" s="2" t="n">
        <f aca="false">F193+G193+H193</f>
        <v>31</v>
      </c>
      <c r="K193" s="3" t="n">
        <f aca="false">J193/D193</f>
        <v>0.0643153526970954</v>
      </c>
    </row>
    <row r="194" customFormat="false" ht="15" hidden="false" customHeight="false" outlineLevel="0" collapsed="false">
      <c r="A194" s="2" t="s">
        <v>152</v>
      </c>
      <c r="B194" s="2" t="s">
        <v>26</v>
      </c>
      <c r="C194" s="2" t="s">
        <v>20</v>
      </c>
      <c r="D194" s="2" t="n">
        <v>7844</v>
      </c>
      <c r="E194" s="2" t="n">
        <v>12240</v>
      </c>
      <c r="F194" s="2" t="n">
        <v>190</v>
      </c>
      <c r="G194" s="2" t="n">
        <v>18</v>
      </c>
      <c r="H194" s="2" t="n">
        <v>69</v>
      </c>
      <c r="I194" s="2" t="n">
        <v>9</v>
      </c>
      <c r="J194" s="2" t="n">
        <f aca="false">F194+G194+H194</f>
        <v>277</v>
      </c>
      <c r="K194" s="3" t="n">
        <f aca="false">J194/D194</f>
        <v>0.0353136155022948</v>
      </c>
    </row>
    <row r="195" customFormat="false" ht="15" hidden="false" customHeight="false" outlineLevel="0" collapsed="false">
      <c r="A195" s="2" t="s">
        <v>152</v>
      </c>
      <c r="B195" s="2" t="s">
        <v>12</v>
      </c>
      <c r="C195" s="2" t="s">
        <v>18</v>
      </c>
      <c r="D195" s="2" t="n">
        <v>2298</v>
      </c>
      <c r="E195" s="2" t="n">
        <v>2846</v>
      </c>
      <c r="F195" s="2" t="n">
        <v>36</v>
      </c>
      <c r="G195" s="2" t="n">
        <v>7</v>
      </c>
      <c r="H195" s="2" t="n">
        <v>16</v>
      </c>
      <c r="I195" s="2" t="n">
        <v>3</v>
      </c>
      <c r="J195" s="2" t="n">
        <f aca="false">F195+G195+H195</f>
        <v>59</v>
      </c>
      <c r="K195" s="3" t="n">
        <f aca="false">J195/D195</f>
        <v>0.025674499564839</v>
      </c>
    </row>
    <row r="196" customFormat="false" ht="15" hidden="false" customHeight="false" outlineLevel="0" collapsed="false">
      <c r="A196" s="2" t="s">
        <v>153</v>
      </c>
      <c r="B196" s="2" t="s">
        <v>19</v>
      </c>
      <c r="C196" s="2" t="s">
        <v>18</v>
      </c>
      <c r="D196" s="2" t="n">
        <v>1633</v>
      </c>
      <c r="E196" s="2" t="n">
        <v>1926</v>
      </c>
      <c r="F196" s="2" t="n">
        <v>77</v>
      </c>
      <c r="G196" s="2" t="n">
        <v>14</v>
      </c>
      <c r="H196" s="2" t="n">
        <v>25</v>
      </c>
      <c r="I196" s="2" t="n">
        <v>3</v>
      </c>
      <c r="J196" s="2" t="n">
        <f aca="false">F196+G196+H196</f>
        <v>116</v>
      </c>
      <c r="K196" s="3" t="n">
        <f aca="false">J196/D196</f>
        <v>0.0710349050826699</v>
      </c>
    </row>
    <row r="197" customFormat="false" ht="15" hidden="false" customHeight="false" outlineLevel="0" collapsed="false">
      <c r="A197" s="2" t="s">
        <v>154</v>
      </c>
      <c r="B197" s="2" t="s">
        <v>26</v>
      </c>
      <c r="C197" s="2" t="s">
        <v>23</v>
      </c>
      <c r="D197" s="2" t="n">
        <v>6039</v>
      </c>
      <c r="E197" s="2" t="n">
        <v>7190</v>
      </c>
      <c r="F197" s="2" t="n">
        <v>210</v>
      </c>
      <c r="G197" s="2" t="n">
        <v>19</v>
      </c>
      <c r="H197" s="2" t="n">
        <v>65</v>
      </c>
      <c r="I197" s="2" t="n">
        <v>18</v>
      </c>
      <c r="J197" s="2" t="n">
        <f aca="false">F197+G197+H197</f>
        <v>294</v>
      </c>
      <c r="K197" s="3" t="n">
        <f aca="false">J197/D197</f>
        <v>0.0486835568802782</v>
      </c>
    </row>
    <row r="198" customFormat="false" ht="15" hidden="false" customHeight="false" outlineLevel="0" collapsed="false">
      <c r="A198" s="2" t="s">
        <v>154</v>
      </c>
      <c r="B198" s="2" t="s">
        <v>15</v>
      </c>
      <c r="C198" s="2" t="s">
        <v>16</v>
      </c>
      <c r="D198" s="2" t="n">
        <v>5574</v>
      </c>
      <c r="E198" s="2" t="n">
        <v>6820</v>
      </c>
      <c r="F198" s="2" t="n">
        <v>176</v>
      </c>
      <c r="G198" s="2" t="n">
        <v>13</v>
      </c>
      <c r="H198" s="2" t="n">
        <v>67</v>
      </c>
      <c r="I198" s="2" t="n">
        <v>13</v>
      </c>
      <c r="J198" s="2" t="n">
        <f aca="false">F198+G198+H198</f>
        <v>256</v>
      </c>
      <c r="K198" s="3" t="n">
        <f aca="false">J198/D198</f>
        <v>0.0459275206315034</v>
      </c>
    </row>
    <row r="199" customFormat="false" ht="15" hidden="false" customHeight="false" outlineLevel="0" collapsed="false">
      <c r="A199" s="2" t="s">
        <v>155</v>
      </c>
      <c r="B199" s="2" t="s">
        <v>15</v>
      </c>
      <c r="C199" s="2" t="s">
        <v>18</v>
      </c>
      <c r="D199" s="2" t="n">
        <v>3391</v>
      </c>
      <c r="E199" s="2" t="n">
        <v>5146</v>
      </c>
      <c r="F199" s="2" t="n">
        <v>177</v>
      </c>
      <c r="G199" s="2" t="n">
        <v>33</v>
      </c>
      <c r="H199" s="2" t="n">
        <v>63</v>
      </c>
      <c r="I199" s="2" t="n">
        <v>12</v>
      </c>
      <c r="J199" s="2" t="n">
        <f aca="false">F199+G199+H199</f>
        <v>273</v>
      </c>
      <c r="K199" s="3" t="n">
        <f aca="false">J199/D199</f>
        <v>0.0805072250073725</v>
      </c>
    </row>
    <row r="200" customFormat="false" ht="15" hidden="false" customHeight="false" outlineLevel="0" collapsed="false">
      <c r="A200" s="2" t="s">
        <v>156</v>
      </c>
      <c r="B200" s="2" t="s">
        <v>26</v>
      </c>
      <c r="C200" s="2" t="s">
        <v>23</v>
      </c>
      <c r="D200" s="2" t="n">
        <v>6325</v>
      </c>
      <c r="E200" s="2" t="n">
        <v>9564</v>
      </c>
      <c r="F200" s="2" t="n">
        <v>118</v>
      </c>
      <c r="G200" s="2" t="n">
        <v>11</v>
      </c>
      <c r="H200" s="2" t="n">
        <v>57</v>
      </c>
      <c r="I200" s="2" t="n">
        <v>11</v>
      </c>
      <c r="J200" s="2" t="n">
        <f aca="false">F200+G200+H200</f>
        <v>186</v>
      </c>
      <c r="K200" s="3" t="n">
        <f aca="false">J200/D200</f>
        <v>0.0294071146245059</v>
      </c>
    </row>
    <row r="201" customFormat="false" ht="15" hidden="false" customHeight="false" outlineLevel="0" collapsed="false">
      <c r="A201" s="2" t="s">
        <v>156</v>
      </c>
      <c r="B201" s="2" t="s">
        <v>15</v>
      </c>
      <c r="C201" s="2" t="s">
        <v>20</v>
      </c>
      <c r="D201" s="2" t="n">
        <v>4914</v>
      </c>
      <c r="E201" s="2" t="n">
        <v>6205</v>
      </c>
      <c r="F201" s="2" t="n">
        <v>229</v>
      </c>
      <c r="G201" s="2" t="n">
        <v>23</v>
      </c>
      <c r="H201" s="2" t="n">
        <v>127</v>
      </c>
      <c r="I201" s="2" t="n">
        <v>23</v>
      </c>
      <c r="J201" s="2" t="n">
        <f aca="false">F201+G201+H201</f>
        <v>379</v>
      </c>
      <c r="K201" s="3" t="n">
        <f aca="false">J201/D201</f>
        <v>0.0771265771265771</v>
      </c>
    </row>
    <row r="202" customFormat="false" ht="15" hidden="false" customHeight="false" outlineLevel="0" collapsed="false">
      <c r="A202" s="2" t="s">
        <v>157</v>
      </c>
      <c r="B202" s="2" t="s">
        <v>19</v>
      </c>
      <c r="C202" s="2" t="s">
        <v>16</v>
      </c>
      <c r="D202" s="2" t="n">
        <v>1536</v>
      </c>
      <c r="E202" s="2" t="n">
        <v>2073</v>
      </c>
      <c r="F202" s="2" t="n">
        <v>42</v>
      </c>
      <c r="G202" s="2" t="n">
        <v>5</v>
      </c>
      <c r="H202" s="2" t="n">
        <v>21</v>
      </c>
      <c r="I202" s="2" t="n">
        <v>2</v>
      </c>
      <c r="J202" s="2" t="n">
        <f aca="false">F202+G202+H202</f>
        <v>68</v>
      </c>
      <c r="K202" s="3" t="n">
        <f aca="false">J202/D202</f>
        <v>0.0442708333333333</v>
      </c>
    </row>
    <row r="203" customFormat="false" ht="15" hidden="false" customHeight="false" outlineLevel="0" collapsed="false">
      <c r="A203" s="2" t="s">
        <v>158</v>
      </c>
      <c r="B203" s="2" t="s">
        <v>12</v>
      </c>
      <c r="C203" s="2" t="s">
        <v>13</v>
      </c>
      <c r="D203" s="2" t="n">
        <v>1809</v>
      </c>
      <c r="E203" s="2" t="n">
        <v>2180</v>
      </c>
      <c r="F203" s="2" t="n">
        <v>55</v>
      </c>
      <c r="G203" s="2" t="n">
        <v>10</v>
      </c>
      <c r="H203" s="2" t="n">
        <v>23</v>
      </c>
      <c r="I203" s="2" t="n">
        <v>6</v>
      </c>
      <c r="J203" s="2" t="n">
        <f aca="false">F203+G203+H203</f>
        <v>88</v>
      </c>
      <c r="K203" s="3" t="n">
        <f aca="false">J203/D203</f>
        <v>0.0486456605859591</v>
      </c>
    </row>
    <row r="204" customFormat="false" ht="15" hidden="false" customHeight="false" outlineLevel="0" collapsed="false">
      <c r="A204" s="2" t="s">
        <v>159</v>
      </c>
      <c r="B204" s="2" t="s">
        <v>12</v>
      </c>
      <c r="C204" s="2" t="s">
        <v>18</v>
      </c>
      <c r="D204" s="2" t="n">
        <v>1852</v>
      </c>
      <c r="E204" s="2" t="n">
        <v>2659</v>
      </c>
      <c r="F204" s="2" t="n">
        <v>88</v>
      </c>
      <c r="G204" s="2" t="n">
        <v>14</v>
      </c>
      <c r="H204" s="2" t="n">
        <v>25</v>
      </c>
      <c r="I204" s="2" t="n">
        <v>3</v>
      </c>
      <c r="J204" s="2" t="n">
        <f aca="false">F204+G204+H204</f>
        <v>127</v>
      </c>
      <c r="K204" s="3" t="n">
        <f aca="false">J204/D204</f>
        <v>0.0685745140388769</v>
      </c>
    </row>
    <row r="205" customFormat="false" ht="15" hidden="false" customHeight="false" outlineLevel="0" collapsed="false">
      <c r="A205" s="2" t="s">
        <v>160</v>
      </c>
      <c r="B205" s="2" t="s">
        <v>22</v>
      </c>
      <c r="C205" s="2" t="s">
        <v>20</v>
      </c>
      <c r="D205" s="2" t="n">
        <v>2951</v>
      </c>
      <c r="E205" s="2" t="n">
        <v>4344</v>
      </c>
      <c r="F205" s="2" t="n">
        <v>160</v>
      </c>
      <c r="G205" s="2" t="n">
        <v>35</v>
      </c>
      <c r="H205" s="2" t="n">
        <v>38</v>
      </c>
      <c r="I205" s="2" t="n">
        <v>9</v>
      </c>
      <c r="J205" s="2" t="n">
        <f aca="false">F205+G205+H205</f>
        <v>233</v>
      </c>
      <c r="K205" s="3" t="n">
        <f aca="false">J205/D205</f>
        <v>0.0789562860047442</v>
      </c>
    </row>
    <row r="206" customFormat="false" ht="15" hidden="false" customHeight="false" outlineLevel="0" collapsed="false">
      <c r="A206" s="2" t="s">
        <v>161</v>
      </c>
      <c r="B206" s="2" t="s">
        <v>22</v>
      </c>
      <c r="C206" s="2" t="s">
        <v>18</v>
      </c>
      <c r="D206" s="2" t="n">
        <v>5394</v>
      </c>
      <c r="E206" s="2" t="n">
        <v>6808</v>
      </c>
      <c r="F206" s="2" t="n">
        <v>186</v>
      </c>
      <c r="G206" s="2" t="n">
        <v>23</v>
      </c>
      <c r="H206" s="2" t="n">
        <v>58</v>
      </c>
      <c r="I206" s="2" t="n">
        <v>14</v>
      </c>
      <c r="J206" s="2" t="n">
        <f aca="false">F206+G206+H206</f>
        <v>267</v>
      </c>
      <c r="K206" s="3" t="n">
        <f aca="false">J206/D206</f>
        <v>0.0494994438264739</v>
      </c>
    </row>
    <row r="207" customFormat="false" ht="15" hidden="false" customHeight="false" outlineLevel="0" collapsed="false">
      <c r="A207" s="2" t="s">
        <v>162</v>
      </c>
      <c r="B207" s="2" t="s">
        <v>19</v>
      </c>
      <c r="C207" s="2" t="s">
        <v>13</v>
      </c>
      <c r="D207" s="2" t="n">
        <v>1642</v>
      </c>
      <c r="E207" s="2" t="n">
        <v>2055</v>
      </c>
      <c r="F207" s="2" t="n">
        <v>53</v>
      </c>
      <c r="G207" s="2" t="n">
        <v>12</v>
      </c>
      <c r="H207" s="2" t="n">
        <v>16</v>
      </c>
      <c r="I207" s="2" t="n">
        <v>4</v>
      </c>
      <c r="J207" s="2" t="n">
        <f aca="false">F207+G207+H207</f>
        <v>81</v>
      </c>
      <c r="K207" s="3" t="n">
        <f aca="false">J207/D207</f>
        <v>0.0493300852618758</v>
      </c>
    </row>
    <row r="208" customFormat="false" ht="15" hidden="false" customHeight="false" outlineLevel="0" collapsed="false">
      <c r="A208" s="2" t="s">
        <v>163</v>
      </c>
      <c r="B208" s="2" t="s">
        <v>26</v>
      </c>
      <c r="C208" s="2" t="s">
        <v>13</v>
      </c>
      <c r="D208" s="2" t="n">
        <v>10369</v>
      </c>
      <c r="E208" s="2" t="n">
        <v>13164</v>
      </c>
      <c r="F208" s="2" t="n">
        <v>449</v>
      </c>
      <c r="G208" s="2" t="n">
        <v>73</v>
      </c>
      <c r="H208" s="2" t="n">
        <v>178</v>
      </c>
      <c r="I208" s="2" t="n">
        <v>53</v>
      </c>
      <c r="J208" s="2" t="n">
        <f aca="false">F208+G208+H208</f>
        <v>700</v>
      </c>
      <c r="K208" s="3" t="n">
        <f aca="false">J208/D208</f>
        <v>0.06750892082168</v>
      </c>
    </row>
    <row r="209" customFormat="false" ht="15" hidden="false" customHeight="false" outlineLevel="0" collapsed="false">
      <c r="A209" s="2" t="s">
        <v>163</v>
      </c>
      <c r="B209" s="2" t="s">
        <v>19</v>
      </c>
      <c r="C209" s="2" t="s">
        <v>20</v>
      </c>
      <c r="D209" s="2" t="n">
        <v>2312</v>
      </c>
      <c r="E209" s="2" t="n">
        <v>2785</v>
      </c>
      <c r="F209" s="2" t="n">
        <v>31</v>
      </c>
      <c r="G209" s="2" t="n">
        <v>3</v>
      </c>
      <c r="H209" s="2" t="n">
        <v>14</v>
      </c>
      <c r="I209" s="2" t="n">
        <v>1</v>
      </c>
      <c r="J209" s="2" t="n">
        <f aca="false">F209+G209+H209</f>
        <v>48</v>
      </c>
      <c r="K209" s="3" t="n">
        <f aca="false">J209/D209</f>
        <v>0.0207612456747405</v>
      </c>
    </row>
    <row r="210" customFormat="false" ht="15" hidden="false" customHeight="false" outlineLevel="0" collapsed="false">
      <c r="A210" s="2" t="s">
        <v>163</v>
      </c>
      <c r="B210" s="2" t="s">
        <v>22</v>
      </c>
      <c r="C210" s="2" t="s">
        <v>18</v>
      </c>
      <c r="D210" s="2" t="n">
        <v>4047</v>
      </c>
      <c r="E210" s="2" t="n">
        <v>6395</v>
      </c>
      <c r="F210" s="2" t="n">
        <v>145</v>
      </c>
      <c r="G210" s="2" t="n">
        <v>22</v>
      </c>
      <c r="H210" s="2" t="n">
        <v>59</v>
      </c>
      <c r="I210" s="2" t="n">
        <v>12</v>
      </c>
      <c r="J210" s="2" t="n">
        <f aca="false">F210+G210+H210</f>
        <v>226</v>
      </c>
      <c r="K210" s="3" t="n">
        <f aca="false">J210/D210</f>
        <v>0.0558438349394613</v>
      </c>
    </row>
    <row r="211" customFormat="false" ht="15" hidden="false" customHeight="false" outlineLevel="0" collapsed="false">
      <c r="A211" s="2" t="s">
        <v>164</v>
      </c>
      <c r="B211" s="2" t="s">
        <v>15</v>
      </c>
      <c r="C211" s="2" t="s">
        <v>20</v>
      </c>
      <c r="D211" s="2" t="n">
        <v>6444</v>
      </c>
      <c r="E211" s="2" t="n">
        <v>10066</v>
      </c>
      <c r="F211" s="2" t="n">
        <v>249</v>
      </c>
      <c r="G211" s="2" t="n">
        <v>48</v>
      </c>
      <c r="H211" s="2" t="n">
        <v>92</v>
      </c>
      <c r="I211" s="2" t="n">
        <v>25</v>
      </c>
      <c r="J211" s="2" t="n">
        <f aca="false">F211+G211+H211</f>
        <v>389</v>
      </c>
      <c r="K211" s="3" t="n">
        <f aca="false">J211/D211</f>
        <v>0.0603662321539417</v>
      </c>
    </row>
    <row r="212" customFormat="false" ht="15" hidden="false" customHeight="false" outlineLevel="0" collapsed="false">
      <c r="A212" s="2" t="s">
        <v>165</v>
      </c>
      <c r="B212" s="2" t="s">
        <v>12</v>
      </c>
      <c r="C212" s="2" t="s">
        <v>18</v>
      </c>
      <c r="D212" s="2" t="n">
        <v>1501</v>
      </c>
      <c r="E212" s="2" t="n">
        <v>2206</v>
      </c>
      <c r="F212" s="2" t="n">
        <v>53</v>
      </c>
      <c r="G212" s="2" t="n">
        <v>9</v>
      </c>
      <c r="H212" s="2" t="n">
        <v>16</v>
      </c>
      <c r="I212" s="2" t="n">
        <v>4</v>
      </c>
      <c r="J212" s="2" t="n">
        <f aca="false">F212+G212+H212</f>
        <v>78</v>
      </c>
      <c r="K212" s="3" t="n">
        <f aca="false">J212/D212</f>
        <v>0.0519653564290473</v>
      </c>
    </row>
    <row r="213" customFormat="false" ht="15" hidden="false" customHeight="false" outlineLevel="0" collapsed="false">
      <c r="A213" s="2" t="s">
        <v>166</v>
      </c>
      <c r="B213" s="2" t="s">
        <v>15</v>
      </c>
      <c r="C213" s="2" t="s">
        <v>16</v>
      </c>
      <c r="D213" s="2" t="n">
        <v>3946</v>
      </c>
      <c r="E213" s="2" t="n">
        <v>5507</v>
      </c>
      <c r="F213" s="2" t="n">
        <v>229</v>
      </c>
      <c r="G213" s="2" t="n">
        <v>49</v>
      </c>
      <c r="H213" s="2" t="n">
        <v>69</v>
      </c>
      <c r="I213" s="2" t="n">
        <v>10</v>
      </c>
      <c r="J213" s="2" t="n">
        <f aca="false">F213+G213+H213</f>
        <v>347</v>
      </c>
      <c r="K213" s="3" t="n">
        <f aca="false">J213/D213</f>
        <v>0.0879371515458692</v>
      </c>
    </row>
    <row r="214" customFormat="false" ht="15" hidden="false" customHeight="false" outlineLevel="0" collapsed="false">
      <c r="A214" s="2" t="s">
        <v>167</v>
      </c>
      <c r="B214" s="2" t="s">
        <v>15</v>
      </c>
      <c r="C214" s="2" t="s">
        <v>18</v>
      </c>
      <c r="D214" s="2" t="n">
        <v>4045</v>
      </c>
      <c r="E214" s="2" t="n">
        <v>4940</v>
      </c>
      <c r="F214" s="2" t="n">
        <v>73</v>
      </c>
      <c r="G214" s="2" t="n">
        <v>9</v>
      </c>
      <c r="H214" s="2" t="n">
        <v>18</v>
      </c>
      <c r="I214" s="2" t="n">
        <v>2</v>
      </c>
      <c r="J214" s="2" t="n">
        <f aca="false">F214+G214+H214</f>
        <v>100</v>
      </c>
      <c r="K214" s="3" t="n">
        <f aca="false">J214/D214</f>
        <v>0.0247218788627936</v>
      </c>
    </row>
    <row r="215" customFormat="false" ht="15" hidden="false" customHeight="false" outlineLevel="0" collapsed="false">
      <c r="A215" s="2" t="s">
        <v>168</v>
      </c>
      <c r="B215" s="2" t="s">
        <v>12</v>
      </c>
      <c r="C215" s="2" t="s">
        <v>13</v>
      </c>
      <c r="D215" s="2" t="n">
        <v>2745</v>
      </c>
      <c r="E215" s="2" t="n">
        <v>3800</v>
      </c>
      <c r="F215" s="2" t="n">
        <v>172</v>
      </c>
      <c r="G215" s="2" t="n">
        <v>35</v>
      </c>
      <c r="H215" s="2" t="n">
        <v>38</v>
      </c>
      <c r="I215" s="2" t="n">
        <v>11</v>
      </c>
      <c r="J215" s="2" t="n">
        <f aca="false">F215+G215+H215</f>
        <v>245</v>
      </c>
      <c r="K215" s="3" t="n">
        <f aca="false">J215/D215</f>
        <v>0.0892531876138434</v>
      </c>
    </row>
    <row r="216" customFormat="false" ht="15" hidden="false" customHeight="false" outlineLevel="0" collapsed="false">
      <c r="A216" s="2" t="s">
        <v>169</v>
      </c>
      <c r="B216" s="2" t="s">
        <v>19</v>
      </c>
      <c r="C216" s="2" t="s">
        <v>20</v>
      </c>
      <c r="D216" s="2" t="n">
        <v>2470</v>
      </c>
      <c r="E216" s="2" t="n">
        <v>3662</v>
      </c>
      <c r="F216" s="2" t="n">
        <v>127</v>
      </c>
      <c r="G216" s="2" t="n">
        <v>17</v>
      </c>
      <c r="H216" s="2" t="n">
        <v>34</v>
      </c>
      <c r="I216" s="2" t="n">
        <v>12</v>
      </c>
      <c r="J216" s="2" t="n">
        <f aca="false">F216+G216+H216</f>
        <v>178</v>
      </c>
      <c r="K216" s="3" t="n">
        <f aca="false">J216/D216</f>
        <v>0.0720647773279352</v>
      </c>
    </row>
    <row r="217" customFormat="false" ht="15" hidden="false" customHeight="false" outlineLevel="0" collapsed="false">
      <c r="A217" s="2" t="s">
        <v>170</v>
      </c>
      <c r="B217" s="2" t="s">
        <v>15</v>
      </c>
      <c r="C217" s="2" t="s">
        <v>16</v>
      </c>
      <c r="D217" s="2" t="n">
        <v>3015</v>
      </c>
      <c r="E217" s="2" t="n">
        <v>4262</v>
      </c>
      <c r="F217" s="2" t="n">
        <v>123</v>
      </c>
      <c r="G217" s="2" t="n">
        <v>18</v>
      </c>
      <c r="H217" s="2" t="n">
        <v>24</v>
      </c>
      <c r="I217" s="2" t="n">
        <v>7</v>
      </c>
      <c r="J217" s="2" t="n">
        <f aca="false">F217+G217+H217</f>
        <v>165</v>
      </c>
      <c r="K217" s="3" t="n">
        <f aca="false">J217/D217</f>
        <v>0.054726368159204</v>
      </c>
    </row>
    <row r="218" customFormat="false" ht="15" hidden="false" customHeight="false" outlineLevel="0" collapsed="false">
      <c r="A218" s="2" t="s">
        <v>170</v>
      </c>
      <c r="B218" s="2" t="s">
        <v>12</v>
      </c>
      <c r="C218" s="2" t="s">
        <v>16</v>
      </c>
      <c r="D218" s="2" t="n">
        <v>1275</v>
      </c>
      <c r="E218" s="2" t="n">
        <v>1726</v>
      </c>
      <c r="F218" s="2" t="n">
        <v>47</v>
      </c>
      <c r="G218" s="2" t="n">
        <v>5</v>
      </c>
      <c r="H218" s="2" t="n">
        <v>14</v>
      </c>
      <c r="I218" s="2" t="n">
        <v>3</v>
      </c>
      <c r="J218" s="2" t="n">
        <f aca="false">F218+G218+H218</f>
        <v>66</v>
      </c>
      <c r="K218" s="3" t="n">
        <f aca="false">J218/D218</f>
        <v>0.0517647058823529</v>
      </c>
    </row>
    <row r="219" customFormat="false" ht="15" hidden="false" customHeight="false" outlineLevel="0" collapsed="false">
      <c r="A219" s="2" t="s">
        <v>171</v>
      </c>
      <c r="B219" s="2" t="s">
        <v>12</v>
      </c>
      <c r="C219" s="2" t="s">
        <v>23</v>
      </c>
      <c r="D219" s="2" t="n">
        <v>1368</v>
      </c>
      <c r="E219" s="2" t="n">
        <v>1808</v>
      </c>
      <c r="F219" s="2" t="n">
        <v>38</v>
      </c>
      <c r="G219" s="2" t="n">
        <v>7</v>
      </c>
      <c r="H219" s="2" t="n">
        <v>11</v>
      </c>
      <c r="I219" s="2" t="n">
        <v>3</v>
      </c>
      <c r="J219" s="2" t="n">
        <f aca="false">F219+G219+H219</f>
        <v>56</v>
      </c>
      <c r="K219" s="3" t="n">
        <f aca="false">J219/D219</f>
        <v>0.0409356725146199</v>
      </c>
    </row>
    <row r="220" customFormat="false" ht="15" hidden="false" customHeight="false" outlineLevel="0" collapsed="false">
      <c r="A220" s="2" t="s">
        <v>172</v>
      </c>
      <c r="B220" s="2" t="s">
        <v>26</v>
      </c>
      <c r="C220" s="2" t="s">
        <v>20</v>
      </c>
      <c r="D220" s="2" t="n">
        <v>4860</v>
      </c>
      <c r="E220" s="2" t="n">
        <v>7422</v>
      </c>
      <c r="F220" s="2" t="n">
        <v>267</v>
      </c>
      <c r="G220" s="2" t="n">
        <v>39</v>
      </c>
      <c r="H220" s="2" t="n">
        <v>117</v>
      </c>
      <c r="I220" s="2" t="n">
        <v>32</v>
      </c>
      <c r="J220" s="2" t="n">
        <f aca="false">F220+G220+H220</f>
        <v>423</v>
      </c>
      <c r="K220" s="3" t="n">
        <f aca="false">J220/D220</f>
        <v>0.087037037037037</v>
      </c>
    </row>
    <row r="221" customFormat="false" ht="15" hidden="false" customHeight="false" outlineLevel="0" collapsed="false">
      <c r="A221" s="2" t="s">
        <v>173</v>
      </c>
      <c r="B221" s="2" t="s">
        <v>19</v>
      </c>
      <c r="C221" s="2" t="s">
        <v>23</v>
      </c>
      <c r="D221" s="2" t="n">
        <v>3346</v>
      </c>
      <c r="E221" s="2" t="n">
        <v>4299</v>
      </c>
      <c r="F221" s="2" t="n">
        <v>125</v>
      </c>
      <c r="G221" s="2" t="n">
        <v>22</v>
      </c>
      <c r="H221" s="2" t="n">
        <v>46</v>
      </c>
      <c r="I221" s="2" t="n">
        <v>9</v>
      </c>
      <c r="J221" s="2" t="n">
        <f aca="false">F221+G221+H221</f>
        <v>193</v>
      </c>
      <c r="K221" s="3" t="n">
        <f aca="false">J221/D221</f>
        <v>0.0576808129109384</v>
      </c>
    </row>
    <row r="222" customFormat="false" ht="15" hidden="false" customHeight="false" outlineLevel="0" collapsed="false">
      <c r="A222" s="2" t="s">
        <v>174</v>
      </c>
      <c r="B222" s="2" t="s">
        <v>15</v>
      </c>
      <c r="C222" s="2" t="s">
        <v>20</v>
      </c>
      <c r="D222" s="2" t="n">
        <v>4636</v>
      </c>
      <c r="E222" s="2" t="n">
        <v>5474</v>
      </c>
      <c r="F222" s="2" t="n">
        <v>110</v>
      </c>
      <c r="G222" s="2" t="n">
        <v>17</v>
      </c>
      <c r="H222" s="2" t="n">
        <v>40</v>
      </c>
      <c r="I222" s="2" t="n">
        <v>10</v>
      </c>
      <c r="J222" s="2" t="n">
        <f aca="false">F222+G222+H222</f>
        <v>167</v>
      </c>
      <c r="K222" s="3" t="n">
        <f aca="false">J222/D222</f>
        <v>0.0360224331320104</v>
      </c>
    </row>
    <row r="223" customFormat="false" ht="15" hidden="false" customHeight="false" outlineLevel="0" collapsed="false">
      <c r="A223" s="2" t="s">
        <v>175</v>
      </c>
      <c r="B223" s="2" t="s">
        <v>22</v>
      </c>
      <c r="C223" s="2" t="s">
        <v>23</v>
      </c>
      <c r="D223" s="2" t="n">
        <v>3060</v>
      </c>
      <c r="E223" s="2" t="n">
        <v>4125</v>
      </c>
      <c r="F223" s="2" t="n">
        <v>146</v>
      </c>
      <c r="G223" s="2" t="n">
        <v>16</v>
      </c>
      <c r="H223" s="2" t="n">
        <v>33</v>
      </c>
      <c r="I223" s="2" t="n">
        <v>10</v>
      </c>
      <c r="J223" s="2" t="n">
        <f aca="false">F223+G223+H223</f>
        <v>195</v>
      </c>
      <c r="K223" s="3" t="n">
        <f aca="false">J223/D223</f>
        <v>0.0637254901960784</v>
      </c>
    </row>
    <row r="224" customFormat="false" ht="15" hidden="false" customHeight="false" outlineLevel="0" collapsed="false">
      <c r="A224" s="2" t="s">
        <v>176</v>
      </c>
      <c r="B224" s="2" t="s">
        <v>26</v>
      </c>
      <c r="C224" s="2" t="s">
        <v>20</v>
      </c>
      <c r="D224" s="2" t="n">
        <v>5785</v>
      </c>
      <c r="E224" s="2" t="n">
        <v>8981</v>
      </c>
      <c r="F224" s="2" t="n">
        <v>286</v>
      </c>
      <c r="G224" s="2" t="n">
        <v>59</v>
      </c>
      <c r="H224" s="2" t="n">
        <v>50</v>
      </c>
      <c r="I224" s="2" t="n">
        <v>29</v>
      </c>
      <c r="J224" s="2" t="n">
        <f aca="false">F224+G224+H224</f>
        <v>395</v>
      </c>
      <c r="K224" s="3" t="n">
        <f aca="false">J224/D224</f>
        <v>0.0682800345721694</v>
      </c>
    </row>
    <row r="225" customFormat="false" ht="15" hidden="false" customHeight="false" outlineLevel="0" collapsed="false">
      <c r="A225" s="2" t="s">
        <v>177</v>
      </c>
      <c r="B225" s="2" t="s">
        <v>15</v>
      </c>
      <c r="C225" s="2" t="s">
        <v>16</v>
      </c>
      <c r="D225" s="2" t="n">
        <v>4807</v>
      </c>
      <c r="E225" s="2" t="n">
        <v>5978</v>
      </c>
      <c r="F225" s="2" t="n">
        <v>263</v>
      </c>
      <c r="G225" s="2" t="n">
        <v>22</v>
      </c>
      <c r="H225" s="2" t="n">
        <v>112</v>
      </c>
      <c r="I225" s="2" t="n">
        <v>21</v>
      </c>
      <c r="J225" s="2" t="n">
        <f aca="false">F225+G225+H225</f>
        <v>397</v>
      </c>
      <c r="K225" s="3" t="n">
        <f aca="false">J225/D225</f>
        <v>0.0825878926565425</v>
      </c>
    </row>
    <row r="226" customFormat="false" ht="15" hidden="false" customHeight="false" outlineLevel="0" collapsed="false">
      <c r="A226" s="2" t="s">
        <v>178</v>
      </c>
      <c r="B226" s="2" t="s">
        <v>19</v>
      </c>
      <c r="C226" s="2" t="s">
        <v>13</v>
      </c>
      <c r="D226" s="2" t="n">
        <v>2050</v>
      </c>
      <c r="E226" s="2" t="n">
        <v>2360</v>
      </c>
      <c r="F226" s="2" t="n">
        <v>98</v>
      </c>
      <c r="G226" s="2" t="n">
        <v>20</v>
      </c>
      <c r="H226" s="2" t="n">
        <v>25</v>
      </c>
      <c r="I226" s="2" t="n">
        <v>6</v>
      </c>
      <c r="J226" s="2" t="n">
        <f aca="false">F226+G226+H226</f>
        <v>143</v>
      </c>
      <c r="K226" s="3" t="n">
        <f aca="false">J226/D226</f>
        <v>0.0697560975609756</v>
      </c>
    </row>
    <row r="227" customFormat="false" ht="15" hidden="false" customHeight="false" outlineLevel="0" collapsed="false">
      <c r="A227" s="2" t="s">
        <v>179</v>
      </c>
      <c r="B227" s="2" t="s">
        <v>15</v>
      </c>
      <c r="C227" s="2" t="s">
        <v>18</v>
      </c>
      <c r="D227" s="2" t="n">
        <v>4638</v>
      </c>
      <c r="E227" s="2" t="n">
        <v>6373</v>
      </c>
      <c r="F227" s="2" t="n">
        <v>174</v>
      </c>
      <c r="G227" s="2" t="n">
        <v>31</v>
      </c>
      <c r="H227" s="2" t="n">
        <v>67</v>
      </c>
      <c r="I227" s="2" t="n">
        <v>14</v>
      </c>
      <c r="J227" s="2" t="n">
        <f aca="false">F227+G227+H227</f>
        <v>272</v>
      </c>
      <c r="K227" s="3" t="n">
        <f aca="false">J227/D227</f>
        <v>0.0586459680896938</v>
      </c>
    </row>
    <row r="228" customFormat="false" ht="15" hidden="false" customHeight="false" outlineLevel="0" collapsed="false">
      <c r="A228" s="2" t="s">
        <v>180</v>
      </c>
      <c r="B228" s="2" t="s">
        <v>15</v>
      </c>
      <c r="C228" s="2" t="s">
        <v>16</v>
      </c>
      <c r="D228" s="2" t="n">
        <v>5580</v>
      </c>
      <c r="E228" s="2" t="n">
        <v>6845</v>
      </c>
      <c r="F228" s="2" t="n">
        <v>229</v>
      </c>
      <c r="G228" s="2" t="n">
        <v>35</v>
      </c>
      <c r="H228" s="2" t="n">
        <v>52</v>
      </c>
      <c r="I228" s="2" t="n">
        <v>22</v>
      </c>
      <c r="J228" s="2" t="n">
        <f aca="false">F228+G228+H228</f>
        <v>316</v>
      </c>
      <c r="K228" s="3" t="n">
        <f aca="false">J228/D228</f>
        <v>0.0566308243727599</v>
      </c>
    </row>
    <row r="229" customFormat="false" ht="15" hidden="false" customHeight="false" outlineLevel="0" collapsed="false">
      <c r="A229" s="2" t="s">
        <v>181</v>
      </c>
      <c r="B229" s="2" t="s">
        <v>12</v>
      </c>
      <c r="C229" s="2" t="s">
        <v>20</v>
      </c>
      <c r="D229" s="2" t="n">
        <v>1947</v>
      </c>
      <c r="E229" s="2" t="n">
        <v>2365</v>
      </c>
      <c r="F229" s="2" t="n">
        <v>46</v>
      </c>
      <c r="G229" s="2" t="n">
        <v>4</v>
      </c>
      <c r="H229" s="2" t="n">
        <v>21</v>
      </c>
      <c r="I229" s="2" t="n">
        <v>4</v>
      </c>
      <c r="J229" s="2" t="n">
        <f aca="false">F229+G229+H229</f>
        <v>71</v>
      </c>
      <c r="K229" s="3" t="n">
        <f aca="false">J229/D229</f>
        <v>0.0364663585002568</v>
      </c>
    </row>
    <row r="230" customFormat="false" ht="15" hidden="false" customHeight="false" outlineLevel="0" collapsed="false">
      <c r="A230" s="2" t="s">
        <v>182</v>
      </c>
      <c r="B230" s="2" t="s">
        <v>19</v>
      </c>
      <c r="C230" s="2" t="s">
        <v>13</v>
      </c>
      <c r="D230" s="2" t="n">
        <v>3596</v>
      </c>
      <c r="E230" s="2" t="n">
        <v>5078</v>
      </c>
      <c r="F230" s="2" t="n">
        <v>208</v>
      </c>
      <c r="G230" s="2" t="n">
        <v>35</v>
      </c>
      <c r="H230" s="2" t="n">
        <v>70</v>
      </c>
      <c r="I230" s="2" t="n">
        <v>11</v>
      </c>
      <c r="J230" s="2" t="n">
        <f aca="false">F230+G230+H230</f>
        <v>313</v>
      </c>
      <c r="K230" s="3" t="n">
        <f aca="false">J230/D230</f>
        <v>0.0870411568409344</v>
      </c>
    </row>
    <row r="231" customFormat="false" ht="15" hidden="false" customHeight="false" outlineLevel="0" collapsed="false">
      <c r="A231" s="2" t="s">
        <v>183</v>
      </c>
      <c r="B231" s="2" t="s">
        <v>26</v>
      </c>
      <c r="C231" s="2" t="s">
        <v>20</v>
      </c>
      <c r="D231" s="2" t="n">
        <v>8836</v>
      </c>
      <c r="E231" s="2" t="n">
        <v>10186</v>
      </c>
      <c r="F231" s="2" t="n">
        <v>477</v>
      </c>
      <c r="G231" s="2" t="n">
        <v>65</v>
      </c>
      <c r="H231" s="2" t="n">
        <v>171</v>
      </c>
      <c r="I231" s="2" t="n">
        <v>25</v>
      </c>
      <c r="J231" s="2" t="n">
        <f aca="false">F231+G231+H231</f>
        <v>713</v>
      </c>
      <c r="K231" s="3" t="n">
        <f aca="false">J231/D231</f>
        <v>0.0806926210955183</v>
      </c>
    </row>
    <row r="232" customFormat="false" ht="15" hidden="false" customHeight="false" outlineLevel="0" collapsed="false">
      <c r="A232" s="2" t="s">
        <v>183</v>
      </c>
      <c r="B232" s="2" t="s">
        <v>26</v>
      </c>
      <c r="C232" s="2" t="s">
        <v>13</v>
      </c>
      <c r="D232" s="2" t="n">
        <v>7189</v>
      </c>
      <c r="E232" s="2" t="n">
        <v>10592</v>
      </c>
      <c r="F232" s="2" t="n">
        <v>165</v>
      </c>
      <c r="G232" s="2" t="n">
        <v>35</v>
      </c>
      <c r="H232" s="2" t="n">
        <v>55</v>
      </c>
      <c r="I232" s="2" t="n">
        <v>13</v>
      </c>
      <c r="J232" s="2" t="n">
        <f aca="false">F232+G232+H232</f>
        <v>255</v>
      </c>
      <c r="K232" s="3" t="n">
        <f aca="false">J232/D232</f>
        <v>0.0354708582556684</v>
      </c>
    </row>
    <row r="233" customFormat="false" ht="15" hidden="false" customHeight="false" outlineLevel="0" collapsed="false">
      <c r="A233" s="2" t="s">
        <v>183</v>
      </c>
      <c r="B233" s="2" t="s">
        <v>12</v>
      </c>
      <c r="C233" s="2" t="s">
        <v>18</v>
      </c>
      <c r="D233" s="2" t="n">
        <v>2385</v>
      </c>
      <c r="E233" s="2" t="n">
        <v>2837</v>
      </c>
      <c r="F233" s="2" t="n">
        <v>50</v>
      </c>
      <c r="G233" s="2" t="n">
        <v>4</v>
      </c>
      <c r="H233" s="2" t="n">
        <v>22</v>
      </c>
      <c r="I233" s="2" t="n">
        <v>6</v>
      </c>
      <c r="J233" s="2" t="n">
        <f aca="false">F233+G233+H233</f>
        <v>76</v>
      </c>
      <c r="K233" s="3" t="n">
        <f aca="false">J233/D233</f>
        <v>0.0318658280922432</v>
      </c>
    </row>
    <row r="234" customFormat="false" ht="15" hidden="false" customHeight="false" outlineLevel="0" collapsed="false">
      <c r="A234" s="2" t="s">
        <v>184</v>
      </c>
      <c r="B234" s="2" t="s">
        <v>22</v>
      </c>
      <c r="C234" s="2" t="s">
        <v>23</v>
      </c>
      <c r="D234" s="2" t="n">
        <v>2267</v>
      </c>
      <c r="E234" s="2" t="n">
        <v>3588</v>
      </c>
      <c r="F234" s="2" t="n">
        <v>83</v>
      </c>
      <c r="G234" s="2" t="n">
        <v>12</v>
      </c>
      <c r="H234" s="2" t="n">
        <v>17</v>
      </c>
      <c r="I234" s="2" t="n">
        <v>5</v>
      </c>
      <c r="J234" s="2" t="n">
        <f aca="false">F234+G234+H234</f>
        <v>112</v>
      </c>
      <c r="K234" s="3" t="n">
        <f aca="false">J234/D234</f>
        <v>0.0494044993383326</v>
      </c>
    </row>
    <row r="235" customFormat="false" ht="15" hidden="false" customHeight="false" outlineLevel="0" collapsed="false">
      <c r="A235" s="2" t="s">
        <v>185</v>
      </c>
      <c r="B235" s="2" t="s">
        <v>22</v>
      </c>
      <c r="C235" s="2" t="s">
        <v>20</v>
      </c>
      <c r="D235" s="2" t="n">
        <v>4405</v>
      </c>
      <c r="E235" s="2" t="n">
        <v>6383</v>
      </c>
      <c r="F235" s="2" t="n">
        <v>120</v>
      </c>
      <c r="G235" s="2" t="n">
        <v>23</v>
      </c>
      <c r="H235" s="2" t="n">
        <v>50</v>
      </c>
      <c r="I235" s="2" t="n">
        <v>5</v>
      </c>
      <c r="J235" s="2" t="n">
        <f aca="false">F235+G235+H235</f>
        <v>193</v>
      </c>
      <c r="K235" s="3" t="n">
        <f aca="false">J235/D235</f>
        <v>0.0438138479001135</v>
      </c>
    </row>
    <row r="236" customFormat="false" ht="15" hidden="false" customHeight="false" outlineLevel="0" collapsed="false">
      <c r="A236" s="2" t="s">
        <v>186</v>
      </c>
      <c r="B236" s="2" t="s">
        <v>15</v>
      </c>
      <c r="C236" s="2" t="s">
        <v>23</v>
      </c>
      <c r="D236" s="2" t="n">
        <v>1934</v>
      </c>
      <c r="E236" s="2" t="n">
        <v>2433</v>
      </c>
      <c r="F236" s="2" t="n">
        <v>56</v>
      </c>
      <c r="G236" s="2" t="n">
        <v>8</v>
      </c>
      <c r="H236" s="2" t="n">
        <v>24</v>
      </c>
      <c r="I236" s="2" t="n">
        <v>5</v>
      </c>
      <c r="J236" s="2" t="n">
        <f aca="false">F236+G236+H236</f>
        <v>88</v>
      </c>
      <c r="K236" s="3" t="n">
        <f aca="false">J236/D236</f>
        <v>0.0455015511892451</v>
      </c>
    </row>
    <row r="237" customFormat="false" ht="15" hidden="false" customHeight="false" outlineLevel="0" collapsed="false">
      <c r="A237" s="2" t="s">
        <v>186</v>
      </c>
      <c r="B237" s="2" t="s">
        <v>19</v>
      </c>
      <c r="C237" s="2" t="s">
        <v>20</v>
      </c>
      <c r="D237" s="2" t="n">
        <v>2396</v>
      </c>
      <c r="E237" s="2" t="n">
        <v>3781</v>
      </c>
      <c r="F237" s="2" t="n">
        <v>84</v>
      </c>
      <c r="G237" s="2" t="n">
        <v>13</v>
      </c>
      <c r="H237" s="2" t="n">
        <v>36</v>
      </c>
      <c r="I237" s="2" t="n">
        <v>4</v>
      </c>
      <c r="J237" s="2" t="n">
        <f aca="false">F237+G237+H237</f>
        <v>133</v>
      </c>
      <c r="K237" s="3" t="n">
        <f aca="false">J237/D237</f>
        <v>0.0555091819699499</v>
      </c>
    </row>
    <row r="238" customFormat="false" ht="15" hidden="false" customHeight="false" outlineLevel="0" collapsed="false">
      <c r="A238" s="2" t="s">
        <v>187</v>
      </c>
      <c r="B238" s="2" t="s">
        <v>19</v>
      </c>
      <c r="C238" s="2" t="s">
        <v>20</v>
      </c>
      <c r="D238" s="2" t="n">
        <v>1385</v>
      </c>
      <c r="E238" s="2" t="n">
        <v>1911</v>
      </c>
      <c r="F238" s="2" t="n">
        <v>29</v>
      </c>
      <c r="G238" s="2" t="n">
        <v>5</v>
      </c>
      <c r="H238" s="2" t="n">
        <v>6</v>
      </c>
      <c r="I238" s="2" t="n">
        <v>1</v>
      </c>
      <c r="J238" s="2" t="n">
        <f aca="false">F238+G238+H238</f>
        <v>40</v>
      </c>
      <c r="K238" s="3" t="n">
        <f aca="false">J238/D238</f>
        <v>0.0288808664259928</v>
      </c>
    </row>
    <row r="239" customFormat="false" ht="15" hidden="false" customHeight="false" outlineLevel="0" collapsed="false">
      <c r="A239" s="2" t="s">
        <v>187</v>
      </c>
      <c r="B239" s="2" t="s">
        <v>26</v>
      </c>
      <c r="C239" s="2" t="s">
        <v>23</v>
      </c>
      <c r="D239" s="2" t="n">
        <v>6535</v>
      </c>
      <c r="E239" s="2" t="n">
        <v>7600</v>
      </c>
      <c r="F239" s="2" t="n">
        <v>285</v>
      </c>
      <c r="G239" s="2" t="n">
        <v>24</v>
      </c>
      <c r="H239" s="2" t="n">
        <v>150</v>
      </c>
      <c r="I239" s="2" t="n">
        <v>29</v>
      </c>
      <c r="J239" s="2" t="n">
        <f aca="false">F239+G239+H239</f>
        <v>459</v>
      </c>
      <c r="K239" s="3" t="n">
        <f aca="false">J239/D239</f>
        <v>0.0702371843917368</v>
      </c>
    </row>
    <row r="240" customFormat="false" ht="15" hidden="false" customHeight="false" outlineLevel="0" collapsed="false">
      <c r="A240" s="2" t="s">
        <v>188</v>
      </c>
      <c r="B240" s="2" t="s">
        <v>26</v>
      </c>
      <c r="C240" s="2" t="s">
        <v>13</v>
      </c>
      <c r="D240" s="2" t="n">
        <v>4909</v>
      </c>
      <c r="E240" s="2" t="n">
        <v>6751</v>
      </c>
      <c r="F240" s="2" t="n">
        <v>122</v>
      </c>
      <c r="G240" s="2" t="n">
        <v>16</v>
      </c>
      <c r="H240" s="2" t="n">
        <v>62</v>
      </c>
      <c r="I240" s="2" t="n">
        <v>7</v>
      </c>
      <c r="J240" s="2" t="n">
        <f aca="false">F240+G240+H240</f>
        <v>200</v>
      </c>
      <c r="K240" s="3" t="n">
        <f aca="false">J240/D240</f>
        <v>0.0407414952128743</v>
      </c>
    </row>
    <row r="241" customFormat="false" ht="15" hidden="false" customHeight="false" outlineLevel="0" collapsed="false">
      <c r="A241" s="2" t="s">
        <v>189</v>
      </c>
      <c r="B241" s="2" t="s">
        <v>15</v>
      </c>
      <c r="C241" s="2" t="s">
        <v>23</v>
      </c>
      <c r="D241" s="2" t="n">
        <v>4332</v>
      </c>
      <c r="E241" s="2" t="n">
        <v>6628</v>
      </c>
      <c r="F241" s="2" t="n">
        <v>158</v>
      </c>
      <c r="G241" s="2" t="n">
        <v>26</v>
      </c>
      <c r="H241" s="2" t="n">
        <v>43</v>
      </c>
      <c r="I241" s="2" t="n">
        <v>16</v>
      </c>
      <c r="J241" s="2" t="n">
        <f aca="false">F241+G241+H241</f>
        <v>227</v>
      </c>
      <c r="K241" s="3" t="n">
        <f aca="false">J241/D241</f>
        <v>0.0524007386888273</v>
      </c>
    </row>
    <row r="242" customFormat="false" ht="15" hidden="false" customHeight="false" outlineLevel="0" collapsed="false">
      <c r="A242" s="2" t="s">
        <v>189</v>
      </c>
      <c r="B242" s="2" t="s">
        <v>26</v>
      </c>
      <c r="C242" s="2" t="s">
        <v>18</v>
      </c>
      <c r="D242" s="2" t="n">
        <v>10754</v>
      </c>
      <c r="E242" s="2" t="n">
        <v>15579</v>
      </c>
      <c r="F242" s="2" t="n">
        <v>318</v>
      </c>
      <c r="G242" s="2" t="n">
        <v>56</v>
      </c>
      <c r="H242" s="2" t="n">
        <v>106</v>
      </c>
      <c r="I242" s="2" t="n">
        <v>30</v>
      </c>
      <c r="J242" s="2" t="n">
        <f aca="false">F242+G242+H242</f>
        <v>480</v>
      </c>
      <c r="K242" s="3" t="n">
        <f aca="false">J242/D242</f>
        <v>0.0446345545843407</v>
      </c>
    </row>
    <row r="243" customFormat="false" ht="15" hidden="false" customHeight="false" outlineLevel="0" collapsed="false">
      <c r="A243" s="2" t="s">
        <v>190</v>
      </c>
      <c r="B243" s="2" t="s">
        <v>22</v>
      </c>
      <c r="C243" s="2" t="s">
        <v>13</v>
      </c>
      <c r="D243" s="2" t="n">
        <v>3367</v>
      </c>
      <c r="E243" s="2" t="n">
        <v>4147</v>
      </c>
      <c r="F243" s="2" t="n">
        <v>69</v>
      </c>
      <c r="G243" s="2" t="n">
        <v>12</v>
      </c>
      <c r="H243" s="2" t="n">
        <v>13</v>
      </c>
      <c r="I243" s="2" t="n">
        <v>6</v>
      </c>
      <c r="J243" s="2" t="n">
        <f aca="false">F243+G243+H243</f>
        <v>94</v>
      </c>
      <c r="K243" s="3" t="n">
        <f aca="false">J243/D243</f>
        <v>0.0279180279180279</v>
      </c>
    </row>
    <row r="244" customFormat="false" ht="15" hidden="false" customHeight="false" outlineLevel="0" collapsed="false">
      <c r="A244" s="2" t="s">
        <v>190</v>
      </c>
      <c r="B244" s="2" t="s">
        <v>15</v>
      </c>
      <c r="C244" s="2" t="s">
        <v>13</v>
      </c>
      <c r="D244" s="2" t="n">
        <v>3527</v>
      </c>
      <c r="E244" s="2" t="n">
        <v>5257</v>
      </c>
      <c r="F244" s="2" t="n">
        <v>77</v>
      </c>
      <c r="G244" s="2" t="n">
        <v>11</v>
      </c>
      <c r="H244" s="2" t="n">
        <v>21</v>
      </c>
      <c r="I244" s="2" t="n">
        <v>6</v>
      </c>
      <c r="J244" s="2" t="n">
        <f aca="false">F244+G244+H244</f>
        <v>109</v>
      </c>
      <c r="K244" s="3" t="n">
        <f aca="false">J244/D244</f>
        <v>0.0309044513751063</v>
      </c>
    </row>
    <row r="245" customFormat="false" ht="15" hidden="false" customHeight="false" outlineLevel="0" collapsed="false">
      <c r="A245" s="2" t="s">
        <v>191</v>
      </c>
      <c r="B245" s="2" t="s">
        <v>19</v>
      </c>
      <c r="C245" s="2" t="s">
        <v>23</v>
      </c>
      <c r="D245" s="2" t="n">
        <v>1627</v>
      </c>
      <c r="E245" s="2" t="n">
        <v>2362</v>
      </c>
      <c r="F245" s="2" t="n">
        <v>73</v>
      </c>
      <c r="G245" s="2" t="n">
        <v>6</v>
      </c>
      <c r="H245" s="2" t="n">
        <v>19</v>
      </c>
      <c r="I245" s="2" t="n">
        <v>6</v>
      </c>
      <c r="J245" s="2" t="n">
        <f aca="false">F245+G245+H245</f>
        <v>98</v>
      </c>
      <c r="K245" s="3" t="n">
        <f aca="false">J245/D245</f>
        <v>0.0602335586969883</v>
      </c>
    </row>
    <row r="246" customFormat="false" ht="15" hidden="false" customHeight="false" outlineLevel="0" collapsed="false">
      <c r="A246" s="2" t="s">
        <v>192</v>
      </c>
      <c r="B246" s="2" t="s">
        <v>12</v>
      </c>
      <c r="C246" s="2" t="s">
        <v>20</v>
      </c>
      <c r="D246" s="2" t="n">
        <v>1769</v>
      </c>
      <c r="E246" s="2" t="n">
        <v>2587</v>
      </c>
      <c r="F246" s="2" t="n">
        <v>60</v>
      </c>
      <c r="G246" s="2" t="n">
        <v>11</v>
      </c>
      <c r="H246" s="2" t="n">
        <v>13</v>
      </c>
      <c r="I246" s="2" t="n">
        <v>3</v>
      </c>
      <c r="J246" s="2" t="n">
        <f aca="false">F246+G246+H246</f>
        <v>84</v>
      </c>
      <c r="K246" s="3" t="n">
        <f aca="false">J246/D246</f>
        <v>0.0474844544940644</v>
      </c>
    </row>
    <row r="247" customFormat="false" ht="15" hidden="false" customHeight="false" outlineLevel="0" collapsed="false">
      <c r="A247" s="2" t="s">
        <v>193</v>
      </c>
      <c r="B247" s="2" t="s">
        <v>22</v>
      </c>
      <c r="C247" s="2" t="s">
        <v>20</v>
      </c>
      <c r="D247" s="2" t="n">
        <v>2612</v>
      </c>
      <c r="E247" s="2" t="n">
        <v>3817</v>
      </c>
      <c r="F247" s="2" t="n">
        <v>135</v>
      </c>
      <c r="G247" s="2" t="n">
        <v>21</v>
      </c>
      <c r="H247" s="2" t="n">
        <v>31</v>
      </c>
      <c r="I247" s="2" t="n">
        <v>9</v>
      </c>
      <c r="J247" s="2" t="n">
        <f aca="false">F247+G247+H247</f>
        <v>187</v>
      </c>
      <c r="K247" s="3" t="n">
        <f aca="false">J247/D247</f>
        <v>0.0715926493108729</v>
      </c>
    </row>
    <row r="248" customFormat="false" ht="15" hidden="false" customHeight="false" outlineLevel="0" collapsed="false">
      <c r="A248" s="2" t="s">
        <v>193</v>
      </c>
      <c r="B248" s="2" t="s">
        <v>15</v>
      </c>
      <c r="C248" s="2" t="s">
        <v>18</v>
      </c>
      <c r="D248" s="2" t="n">
        <v>3086</v>
      </c>
      <c r="E248" s="2" t="n">
        <v>4838</v>
      </c>
      <c r="F248" s="2" t="n">
        <v>64</v>
      </c>
      <c r="G248" s="2" t="n">
        <v>5</v>
      </c>
      <c r="H248" s="2" t="n">
        <v>20</v>
      </c>
      <c r="I248" s="2" t="n">
        <v>6</v>
      </c>
      <c r="J248" s="2" t="n">
        <f aca="false">F248+G248+H248</f>
        <v>89</v>
      </c>
      <c r="K248" s="3" t="n">
        <f aca="false">J248/D248</f>
        <v>0.0288399222294232</v>
      </c>
    </row>
    <row r="249" customFormat="false" ht="15" hidden="false" customHeight="false" outlineLevel="0" collapsed="false">
      <c r="A249" s="2" t="s">
        <v>193</v>
      </c>
      <c r="B249" s="2" t="s">
        <v>26</v>
      </c>
      <c r="C249" s="2" t="s">
        <v>20</v>
      </c>
      <c r="D249" s="2" t="n">
        <v>8371</v>
      </c>
      <c r="E249" s="2" t="n">
        <v>10284</v>
      </c>
      <c r="F249" s="2" t="n">
        <v>189</v>
      </c>
      <c r="G249" s="2" t="n">
        <v>19</v>
      </c>
      <c r="H249" s="2" t="n">
        <v>55</v>
      </c>
      <c r="I249" s="2" t="n">
        <v>9</v>
      </c>
      <c r="J249" s="2" t="n">
        <f aca="false">F249+G249+H249</f>
        <v>263</v>
      </c>
      <c r="K249" s="3" t="n">
        <f aca="false">J249/D249</f>
        <v>0.0314179906821168</v>
      </c>
    </row>
    <row r="250" customFormat="false" ht="15" hidden="false" customHeight="false" outlineLevel="0" collapsed="false">
      <c r="A250" s="2" t="s">
        <v>194</v>
      </c>
      <c r="B250" s="2" t="s">
        <v>15</v>
      </c>
      <c r="C250" s="2" t="s">
        <v>20</v>
      </c>
      <c r="D250" s="2" t="n">
        <v>6788</v>
      </c>
      <c r="E250" s="2" t="n">
        <v>9292</v>
      </c>
      <c r="F250" s="2" t="n">
        <v>258</v>
      </c>
      <c r="G250" s="2" t="n">
        <v>18</v>
      </c>
      <c r="H250" s="2" t="n">
        <v>89</v>
      </c>
      <c r="I250" s="2" t="n">
        <v>22</v>
      </c>
      <c r="J250" s="2" t="n">
        <f aca="false">F250+G250+H250</f>
        <v>365</v>
      </c>
      <c r="K250" s="3" t="n">
        <f aca="false">J250/D250</f>
        <v>0.0537713612256924</v>
      </c>
    </row>
    <row r="251" customFormat="false" ht="15" hidden="false" customHeight="false" outlineLevel="0" collapsed="false">
      <c r="A251" s="2" t="s">
        <v>195</v>
      </c>
      <c r="B251" s="2" t="s">
        <v>12</v>
      </c>
      <c r="C251" s="2" t="s">
        <v>18</v>
      </c>
      <c r="D251" s="2" t="n">
        <v>2528</v>
      </c>
      <c r="E251" s="2" t="n">
        <v>3914</v>
      </c>
      <c r="F251" s="2" t="n">
        <v>52</v>
      </c>
      <c r="G251" s="2" t="n">
        <v>6</v>
      </c>
      <c r="H251" s="2" t="n">
        <v>18</v>
      </c>
      <c r="I251" s="2" t="n">
        <v>5</v>
      </c>
      <c r="J251" s="2" t="n">
        <f aca="false">F251+G251+H251</f>
        <v>76</v>
      </c>
      <c r="K251" s="3" t="n">
        <f aca="false">J251/D251</f>
        <v>0.0300632911392405</v>
      </c>
    </row>
    <row r="252" customFormat="false" ht="15" hidden="false" customHeight="false" outlineLevel="0" collapsed="false">
      <c r="A252" s="2" t="s">
        <v>195</v>
      </c>
      <c r="B252" s="2" t="s">
        <v>19</v>
      </c>
      <c r="C252" s="2" t="s">
        <v>18</v>
      </c>
      <c r="D252" s="2" t="n">
        <v>1966</v>
      </c>
      <c r="E252" s="2" t="n">
        <v>3127</v>
      </c>
      <c r="F252" s="2" t="n">
        <v>102</v>
      </c>
      <c r="G252" s="2" t="n">
        <v>11</v>
      </c>
      <c r="H252" s="2" t="n">
        <v>42</v>
      </c>
      <c r="I252" s="2" t="n">
        <v>10</v>
      </c>
      <c r="J252" s="2" t="n">
        <f aca="false">F252+G252+H252</f>
        <v>155</v>
      </c>
      <c r="K252" s="3" t="n">
        <f aca="false">J252/D252</f>
        <v>0.0788402848423194</v>
      </c>
    </row>
    <row r="253" customFormat="false" ht="15" hidden="false" customHeight="false" outlineLevel="0" collapsed="false">
      <c r="A253" s="2" t="s">
        <v>196</v>
      </c>
      <c r="B253" s="2" t="s">
        <v>15</v>
      </c>
      <c r="C253" s="2" t="s">
        <v>20</v>
      </c>
      <c r="D253" s="2" t="n">
        <v>4123</v>
      </c>
      <c r="E253" s="2" t="n">
        <v>5305</v>
      </c>
      <c r="F253" s="2" t="n">
        <v>74</v>
      </c>
      <c r="G253" s="2" t="n">
        <v>17</v>
      </c>
      <c r="H253" s="2" t="n">
        <v>23</v>
      </c>
      <c r="I253" s="2" t="n">
        <v>3</v>
      </c>
      <c r="J253" s="2" t="n">
        <f aca="false">F253+G253+H253</f>
        <v>114</v>
      </c>
      <c r="K253" s="3" t="n">
        <f aca="false">J253/D253</f>
        <v>0.0276497695852535</v>
      </c>
    </row>
    <row r="254" customFormat="false" ht="15" hidden="false" customHeight="false" outlineLevel="0" collapsed="false">
      <c r="A254" s="2" t="s">
        <v>197</v>
      </c>
      <c r="B254" s="2" t="s">
        <v>15</v>
      </c>
      <c r="C254" s="2" t="s">
        <v>16</v>
      </c>
      <c r="D254" s="2" t="n">
        <v>5274</v>
      </c>
      <c r="E254" s="2" t="n">
        <v>8420</v>
      </c>
      <c r="F254" s="2" t="n">
        <v>235</v>
      </c>
      <c r="G254" s="2" t="n">
        <v>47</v>
      </c>
      <c r="H254" s="2" t="n">
        <v>101</v>
      </c>
      <c r="I254" s="2" t="n">
        <v>30</v>
      </c>
      <c r="J254" s="2" t="n">
        <f aca="false">F254+G254+H254</f>
        <v>383</v>
      </c>
      <c r="K254" s="3" t="n">
        <f aca="false">J254/D254</f>
        <v>0.0726204019719378</v>
      </c>
    </row>
    <row r="255" customFormat="false" ht="15" hidden="false" customHeight="false" outlineLevel="0" collapsed="false">
      <c r="A255" s="2" t="s">
        <v>198</v>
      </c>
      <c r="B255" s="2" t="s">
        <v>22</v>
      </c>
      <c r="C255" s="2" t="s">
        <v>18</v>
      </c>
      <c r="D255" s="2" t="n">
        <v>3190</v>
      </c>
      <c r="E255" s="2" t="n">
        <v>4794</v>
      </c>
      <c r="F255" s="2" t="n">
        <v>89</v>
      </c>
      <c r="G255" s="2" t="n">
        <v>8</v>
      </c>
      <c r="H255" s="2" t="n">
        <v>39</v>
      </c>
      <c r="I255" s="2" t="n">
        <v>5</v>
      </c>
      <c r="J255" s="2" t="n">
        <f aca="false">F255+G255+H255</f>
        <v>136</v>
      </c>
      <c r="K255" s="3" t="n">
        <f aca="false">J255/D255</f>
        <v>0.0426332288401254</v>
      </c>
    </row>
    <row r="256" customFormat="false" ht="15" hidden="false" customHeight="false" outlineLevel="0" collapsed="false">
      <c r="A256" s="2" t="s">
        <v>199</v>
      </c>
      <c r="B256" s="2" t="s">
        <v>15</v>
      </c>
      <c r="C256" s="2" t="s">
        <v>23</v>
      </c>
      <c r="D256" s="2" t="n">
        <v>5829</v>
      </c>
      <c r="E256" s="2" t="n">
        <v>7191</v>
      </c>
      <c r="F256" s="2" t="n">
        <v>274</v>
      </c>
      <c r="G256" s="2" t="n">
        <v>54</v>
      </c>
      <c r="H256" s="2" t="n">
        <v>49</v>
      </c>
      <c r="I256" s="2" t="n">
        <v>11</v>
      </c>
      <c r="J256" s="2" t="n">
        <f aca="false">F256+G256+H256</f>
        <v>377</v>
      </c>
      <c r="K256" s="3" t="n">
        <f aca="false">J256/D256</f>
        <v>0.0646766169154229</v>
      </c>
    </row>
    <row r="257" customFormat="false" ht="15" hidden="false" customHeight="false" outlineLevel="0" collapsed="false">
      <c r="A257" s="2" t="s">
        <v>199</v>
      </c>
      <c r="B257" s="2" t="s">
        <v>12</v>
      </c>
      <c r="C257" s="2" t="s">
        <v>20</v>
      </c>
      <c r="D257" s="2" t="n">
        <v>1353</v>
      </c>
      <c r="E257" s="2" t="n">
        <v>2008</v>
      </c>
      <c r="F257" s="2" t="n">
        <v>36</v>
      </c>
      <c r="G257" s="2" t="n">
        <v>8</v>
      </c>
      <c r="H257" s="2" t="n">
        <v>14</v>
      </c>
      <c r="I257" s="2" t="n">
        <v>2</v>
      </c>
      <c r="J257" s="2" t="n">
        <f aca="false">F257+G257+H257</f>
        <v>58</v>
      </c>
      <c r="K257" s="3" t="n">
        <f aca="false">J257/D257</f>
        <v>0.0428677014042868</v>
      </c>
    </row>
    <row r="258" customFormat="false" ht="15" hidden="false" customHeight="false" outlineLevel="0" collapsed="false">
      <c r="A258" s="2" t="s">
        <v>200</v>
      </c>
      <c r="B258" s="2" t="s">
        <v>22</v>
      </c>
      <c r="C258" s="2" t="s">
        <v>20</v>
      </c>
      <c r="D258" s="2" t="n">
        <v>3141</v>
      </c>
      <c r="E258" s="2" t="n">
        <v>4413</v>
      </c>
      <c r="F258" s="2" t="n">
        <v>145</v>
      </c>
      <c r="G258" s="2" t="n">
        <v>24</v>
      </c>
      <c r="H258" s="2" t="n">
        <v>32</v>
      </c>
      <c r="I258" s="2" t="n">
        <v>15</v>
      </c>
      <c r="J258" s="2" t="n">
        <f aca="false">F258+G258+H258</f>
        <v>201</v>
      </c>
      <c r="K258" s="3" t="n">
        <f aca="false">J258/D258</f>
        <v>0.063992359121299</v>
      </c>
    </row>
    <row r="259" customFormat="false" ht="15" hidden="false" customHeight="false" outlineLevel="0" collapsed="false">
      <c r="A259" s="2" t="s">
        <v>201</v>
      </c>
      <c r="B259" s="2" t="s">
        <v>15</v>
      </c>
      <c r="C259" s="2" t="s">
        <v>20</v>
      </c>
      <c r="D259" s="2" t="n">
        <v>5551</v>
      </c>
      <c r="E259" s="2" t="n">
        <v>7889</v>
      </c>
      <c r="F259" s="2" t="n">
        <v>220</v>
      </c>
      <c r="G259" s="2" t="n">
        <v>26</v>
      </c>
      <c r="H259" s="2" t="n">
        <v>108</v>
      </c>
      <c r="I259" s="2" t="n">
        <v>10</v>
      </c>
      <c r="J259" s="2" t="n">
        <f aca="false">F259+G259+H259</f>
        <v>354</v>
      </c>
      <c r="K259" s="3" t="n">
        <f aca="false">J259/D259</f>
        <v>0.06377229328049</v>
      </c>
    </row>
    <row r="260" customFormat="false" ht="15" hidden="false" customHeight="false" outlineLevel="0" collapsed="false">
      <c r="A260" s="2" t="s">
        <v>202</v>
      </c>
      <c r="B260" s="2" t="s">
        <v>26</v>
      </c>
      <c r="C260" s="2" t="s">
        <v>23</v>
      </c>
      <c r="D260" s="2" t="n">
        <v>8667</v>
      </c>
      <c r="E260" s="2" t="n">
        <v>9978</v>
      </c>
      <c r="F260" s="2" t="n">
        <v>497</v>
      </c>
      <c r="G260" s="2" t="n">
        <v>88</v>
      </c>
      <c r="H260" s="2" t="n">
        <v>98</v>
      </c>
      <c r="I260" s="2" t="n">
        <v>31</v>
      </c>
      <c r="J260" s="2" t="n">
        <f aca="false">F260+G260+H260</f>
        <v>683</v>
      </c>
      <c r="K260" s="3" t="n">
        <f aca="false">J260/D260</f>
        <v>0.0788046613591785</v>
      </c>
    </row>
    <row r="261" customFormat="false" ht="15" hidden="false" customHeight="false" outlineLevel="0" collapsed="false">
      <c r="A261" s="2" t="s">
        <v>202</v>
      </c>
      <c r="B261" s="2" t="s">
        <v>15</v>
      </c>
      <c r="C261" s="2" t="s">
        <v>13</v>
      </c>
      <c r="D261" s="2" t="n">
        <v>7673</v>
      </c>
      <c r="E261" s="2" t="n">
        <v>10601</v>
      </c>
      <c r="F261" s="2" t="n">
        <v>247</v>
      </c>
      <c r="G261" s="2" t="n">
        <v>36</v>
      </c>
      <c r="H261" s="2" t="n">
        <v>97</v>
      </c>
      <c r="I261" s="2" t="n">
        <v>23</v>
      </c>
      <c r="J261" s="2" t="n">
        <f aca="false">F261+G261+H261</f>
        <v>380</v>
      </c>
      <c r="K261" s="3" t="n">
        <f aca="false">J261/D261</f>
        <v>0.0495243060080803</v>
      </c>
    </row>
    <row r="262" customFormat="false" ht="15" hidden="false" customHeight="false" outlineLevel="0" collapsed="false">
      <c r="A262" s="2" t="s">
        <v>202</v>
      </c>
      <c r="B262" s="2" t="s">
        <v>26</v>
      </c>
      <c r="C262" s="2" t="s">
        <v>18</v>
      </c>
      <c r="D262" s="2" t="n">
        <v>7033</v>
      </c>
      <c r="E262" s="2" t="n">
        <v>10633</v>
      </c>
      <c r="F262" s="2" t="n">
        <v>324</v>
      </c>
      <c r="G262" s="2" t="n">
        <v>46</v>
      </c>
      <c r="H262" s="2" t="n">
        <v>103</v>
      </c>
      <c r="I262" s="2" t="n">
        <v>25</v>
      </c>
      <c r="J262" s="2" t="n">
        <f aca="false">F262+G262+H262</f>
        <v>473</v>
      </c>
      <c r="K262" s="3" t="n">
        <f aca="false">J262/D262</f>
        <v>0.0672543722451301</v>
      </c>
    </row>
    <row r="263" customFormat="false" ht="15" hidden="false" customHeight="false" outlineLevel="0" collapsed="false">
      <c r="A263" s="2" t="s">
        <v>203</v>
      </c>
      <c r="B263" s="2" t="s">
        <v>19</v>
      </c>
      <c r="C263" s="2" t="s">
        <v>18</v>
      </c>
      <c r="D263" s="2" t="n">
        <v>2208</v>
      </c>
      <c r="E263" s="2" t="n">
        <v>3507</v>
      </c>
      <c r="F263" s="2" t="n">
        <v>134</v>
      </c>
      <c r="G263" s="2" t="n">
        <v>25</v>
      </c>
      <c r="H263" s="2" t="n">
        <v>34</v>
      </c>
      <c r="I263" s="2" t="n">
        <v>5</v>
      </c>
      <c r="J263" s="2" t="n">
        <f aca="false">F263+G263+H263</f>
        <v>193</v>
      </c>
      <c r="K263" s="3" t="n">
        <f aca="false">J263/D263</f>
        <v>0.0874094202898551</v>
      </c>
    </row>
    <row r="264" customFormat="false" ht="15" hidden="false" customHeight="false" outlineLevel="0" collapsed="false">
      <c r="A264" s="2" t="s">
        <v>204</v>
      </c>
      <c r="B264" s="2" t="s">
        <v>26</v>
      </c>
      <c r="C264" s="2" t="s">
        <v>23</v>
      </c>
      <c r="D264" s="2" t="n">
        <v>6442</v>
      </c>
      <c r="E264" s="2" t="n">
        <v>9917</v>
      </c>
      <c r="F264" s="2" t="n">
        <v>256</v>
      </c>
      <c r="G264" s="2" t="n">
        <v>50</v>
      </c>
      <c r="H264" s="2" t="n">
        <v>62</v>
      </c>
      <c r="I264" s="2" t="n">
        <v>12</v>
      </c>
      <c r="J264" s="2" t="n">
        <f aca="false">F264+G264+H264</f>
        <v>368</v>
      </c>
      <c r="K264" s="3" t="n">
        <f aca="false">J264/D264</f>
        <v>0.057125116423471</v>
      </c>
    </row>
    <row r="265" customFormat="false" ht="15" hidden="false" customHeight="false" outlineLevel="0" collapsed="false">
      <c r="A265" s="2" t="s">
        <v>205</v>
      </c>
      <c r="B265" s="2" t="s">
        <v>19</v>
      </c>
      <c r="C265" s="2" t="s">
        <v>23</v>
      </c>
      <c r="D265" s="2" t="n">
        <v>1819</v>
      </c>
      <c r="E265" s="2" t="n">
        <v>2387</v>
      </c>
      <c r="F265" s="2" t="n">
        <v>45</v>
      </c>
      <c r="G265" s="2" t="n">
        <v>5</v>
      </c>
      <c r="H265" s="2" t="n">
        <v>17</v>
      </c>
      <c r="I265" s="2" t="n">
        <v>2</v>
      </c>
      <c r="J265" s="2" t="n">
        <f aca="false">F265+G265+H265</f>
        <v>67</v>
      </c>
      <c r="K265" s="3" t="n">
        <f aca="false">J265/D265</f>
        <v>0.0368334249587686</v>
      </c>
    </row>
    <row r="266" customFormat="false" ht="15" hidden="false" customHeight="false" outlineLevel="0" collapsed="false">
      <c r="A266" s="2" t="s">
        <v>206</v>
      </c>
      <c r="B266" s="2" t="s">
        <v>15</v>
      </c>
      <c r="C266" s="2" t="s">
        <v>20</v>
      </c>
      <c r="D266" s="2" t="n">
        <v>4370</v>
      </c>
      <c r="E266" s="2" t="n">
        <v>6344</v>
      </c>
      <c r="F266" s="2" t="n">
        <v>193</v>
      </c>
      <c r="G266" s="2" t="n">
        <v>29</v>
      </c>
      <c r="H266" s="2" t="n">
        <v>82</v>
      </c>
      <c r="I266" s="2" t="n">
        <v>16</v>
      </c>
      <c r="J266" s="2" t="n">
        <f aca="false">F266+G266+H266</f>
        <v>304</v>
      </c>
      <c r="K266" s="3" t="n">
        <f aca="false">J266/D266</f>
        <v>0.0695652173913044</v>
      </c>
    </row>
    <row r="267" customFormat="false" ht="15" hidden="false" customHeight="false" outlineLevel="0" collapsed="false">
      <c r="A267" s="2" t="s">
        <v>206</v>
      </c>
      <c r="B267" s="2" t="s">
        <v>12</v>
      </c>
      <c r="C267" s="2" t="s">
        <v>16</v>
      </c>
      <c r="D267" s="2" t="n">
        <v>1472</v>
      </c>
      <c r="E267" s="2" t="n">
        <v>2295</v>
      </c>
      <c r="F267" s="2" t="n">
        <v>64</v>
      </c>
      <c r="G267" s="2" t="n">
        <v>10</v>
      </c>
      <c r="H267" s="2" t="n">
        <v>14</v>
      </c>
      <c r="I267" s="2" t="n">
        <v>6</v>
      </c>
      <c r="J267" s="2" t="n">
        <f aca="false">F267+G267+H267</f>
        <v>88</v>
      </c>
      <c r="K267" s="3" t="n">
        <f aca="false">J267/D267</f>
        <v>0.0597826086956522</v>
      </c>
    </row>
    <row r="268" customFormat="false" ht="15" hidden="false" customHeight="false" outlineLevel="0" collapsed="false">
      <c r="A268" s="2" t="s">
        <v>207</v>
      </c>
      <c r="B268" s="2" t="s">
        <v>19</v>
      </c>
      <c r="C268" s="2" t="s">
        <v>13</v>
      </c>
      <c r="D268" s="2" t="n">
        <v>815</v>
      </c>
      <c r="E268" s="2" t="n">
        <v>1126</v>
      </c>
      <c r="F268" s="2" t="n">
        <v>30</v>
      </c>
      <c r="G268" s="2" t="n">
        <v>4</v>
      </c>
      <c r="H268" s="2" t="n">
        <v>9</v>
      </c>
      <c r="I268" s="2" t="n">
        <v>3</v>
      </c>
      <c r="J268" s="2" t="n">
        <f aca="false">F268+G268+H268</f>
        <v>43</v>
      </c>
      <c r="K268" s="3" t="n">
        <f aca="false">J268/D268</f>
        <v>0.052760736196319</v>
      </c>
    </row>
    <row r="269" customFormat="false" ht="15" hidden="false" customHeight="false" outlineLevel="0" collapsed="false">
      <c r="A269" s="2" t="s">
        <v>208</v>
      </c>
      <c r="B269" s="2" t="s">
        <v>15</v>
      </c>
      <c r="C269" s="2" t="s">
        <v>20</v>
      </c>
      <c r="D269" s="2" t="n">
        <v>1839</v>
      </c>
      <c r="E269" s="2" t="n">
        <v>2757</v>
      </c>
      <c r="F269" s="2" t="n">
        <v>28</v>
      </c>
      <c r="G269" s="2" t="n">
        <v>4</v>
      </c>
      <c r="H269" s="2" t="n">
        <v>12</v>
      </c>
      <c r="I269" s="2" t="n">
        <v>1</v>
      </c>
      <c r="J269" s="2" t="n">
        <f aca="false">F269+G269+H269</f>
        <v>44</v>
      </c>
      <c r="K269" s="3" t="n">
        <f aca="false">J269/D269</f>
        <v>0.023926046764546</v>
      </c>
    </row>
    <row r="270" customFormat="false" ht="15" hidden="false" customHeight="false" outlineLevel="0" collapsed="false">
      <c r="A270" s="2" t="s">
        <v>209</v>
      </c>
      <c r="B270" s="2" t="s">
        <v>12</v>
      </c>
      <c r="C270" s="2" t="s">
        <v>23</v>
      </c>
      <c r="D270" s="2" t="n">
        <v>2027</v>
      </c>
      <c r="E270" s="2" t="n">
        <v>3233</v>
      </c>
      <c r="F270" s="2" t="n">
        <v>43</v>
      </c>
      <c r="G270" s="2" t="n">
        <v>8</v>
      </c>
      <c r="H270" s="2" t="n">
        <v>18</v>
      </c>
      <c r="I270" s="2" t="n">
        <v>3</v>
      </c>
      <c r="J270" s="2" t="n">
        <f aca="false">F270+G270+H270</f>
        <v>69</v>
      </c>
      <c r="K270" s="3" t="n">
        <f aca="false">J270/D270</f>
        <v>0.0340404538727183</v>
      </c>
    </row>
    <row r="271" customFormat="false" ht="15" hidden="false" customHeight="false" outlineLevel="0" collapsed="false">
      <c r="A271" s="2" t="s">
        <v>210</v>
      </c>
      <c r="B271" s="2" t="s">
        <v>26</v>
      </c>
      <c r="C271" s="2" t="s">
        <v>13</v>
      </c>
      <c r="D271" s="2" t="n">
        <v>6613</v>
      </c>
      <c r="E271" s="2" t="n">
        <v>10062</v>
      </c>
      <c r="F271" s="2" t="n">
        <v>124</v>
      </c>
      <c r="G271" s="2" t="n">
        <v>23</v>
      </c>
      <c r="H271" s="2" t="n">
        <v>42</v>
      </c>
      <c r="I271" s="2" t="n">
        <v>15</v>
      </c>
      <c r="J271" s="2" t="n">
        <f aca="false">F271+G271+H271</f>
        <v>189</v>
      </c>
      <c r="K271" s="3" t="n">
        <f aca="false">J271/D271</f>
        <v>0.0285800695599577</v>
      </c>
    </row>
    <row r="272" customFormat="false" ht="15" hidden="false" customHeight="false" outlineLevel="0" collapsed="false">
      <c r="A272" s="2" t="s">
        <v>210</v>
      </c>
      <c r="B272" s="2" t="s">
        <v>12</v>
      </c>
      <c r="C272" s="2" t="s">
        <v>13</v>
      </c>
      <c r="D272" s="2" t="n">
        <v>2039</v>
      </c>
      <c r="E272" s="2" t="n">
        <v>2671</v>
      </c>
      <c r="F272" s="2" t="n">
        <v>61</v>
      </c>
      <c r="G272" s="2" t="n">
        <v>5</v>
      </c>
      <c r="H272" s="2" t="n">
        <v>22</v>
      </c>
      <c r="I272" s="2" t="n">
        <v>7</v>
      </c>
      <c r="J272" s="2" t="n">
        <f aca="false">F272+G272+H272</f>
        <v>88</v>
      </c>
      <c r="K272" s="3" t="n">
        <f aca="false">J272/D272</f>
        <v>0.0431584109857773</v>
      </c>
    </row>
    <row r="273" customFormat="false" ht="15" hidden="false" customHeight="false" outlineLevel="0" collapsed="false">
      <c r="A273" s="2" t="s">
        <v>211</v>
      </c>
      <c r="B273" s="2" t="s">
        <v>12</v>
      </c>
      <c r="C273" s="2" t="s">
        <v>13</v>
      </c>
      <c r="D273" s="2" t="n">
        <v>1283</v>
      </c>
      <c r="E273" s="2" t="n">
        <v>1959</v>
      </c>
      <c r="F273" s="2" t="n">
        <v>48</v>
      </c>
      <c r="G273" s="2" t="n">
        <v>4</v>
      </c>
      <c r="H273" s="2" t="n">
        <v>26</v>
      </c>
      <c r="I273" s="2" t="n">
        <v>2</v>
      </c>
      <c r="J273" s="2" t="n">
        <f aca="false">F273+G273+H273</f>
        <v>78</v>
      </c>
      <c r="K273" s="3" t="n">
        <f aca="false">J273/D273</f>
        <v>0.0607950116913484</v>
      </c>
    </row>
    <row r="274" customFormat="false" ht="15" hidden="false" customHeight="false" outlineLevel="0" collapsed="false">
      <c r="A274" s="2" t="s">
        <v>212</v>
      </c>
      <c r="B274" s="2" t="s">
        <v>15</v>
      </c>
      <c r="C274" s="2" t="s">
        <v>23</v>
      </c>
      <c r="D274" s="2" t="n">
        <v>6356</v>
      </c>
      <c r="E274" s="2" t="n">
        <v>8025</v>
      </c>
      <c r="F274" s="2" t="n">
        <v>408</v>
      </c>
      <c r="G274" s="2" t="n">
        <v>44</v>
      </c>
      <c r="H274" s="2" t="n">
        <v>119</v>
      </c>
      <c r="I274" s="2" t="n">
        <v>27</v>
      </c>
      <c r="J274" s="2" t="n">
        <f aca="false">F274+G274+H274</f>
        <v>571</v>
      </c>
      <c r="K274" s="3" t="n">
        <f aca="false">J274/D274</f>
        <v>0.0898363750786658</v>
      </c>
    </row>
    <row r="275" customFormat="false" ht="15" hidden="false" customHeight="false" outlineLevel="0" collapsed="false">
      <c r="A275" s="2" t="s">
        <v>213</v>
      </c>
      <c r="B275" s="2" t="s">
        <v>22</v>
      </c>
      <c r="C275" s="2" t="s">
        <v>23</v>
      </c>
      <c r="D275" s="2" t="n">
        <v>1905</v>
      </c>
      <c r="E275" s="2" t="n">
        <v>2939</v>
      </c>
      <c r="F275" s="2" t="n">
        <v>88</v>
      </c>
      <c r="G275" s="2" t="n">
        <v>10</v>
      </c>
      <c r="H275" s="2" t="n">
        <v>47</v>
      </c>
      <c r="I275" s="2" t="n">
        <v>10</v>
      </c>
      <c r="J275" s="2" t="n">
        <f aca="false">F275+G275+H275</f>
        <v>145</v>
      </c>
      <c r="K275" s="3" t="n">
        <f aca="false">J275/D275</f>
        <v>0.0761154855643045</v>
      </c>
    </row>
    <row r="276" customFormat="false" ht="15" hidden="false" customHeight="false" outlineLevel="0" collapsed="false">
      <c r="A276" s="2" t="s">
        <v>213</v>
      </c>
      <c r="B276" s="2" t="s">
        <v>12</v>
      </c>
      <c r="C276" s="2" t="s">
        <v>23</v>
      </c>
      <c r="D276" s="2" t="n">
        <v>2755</v>
      </c>
      <c r="E276" s="2" t="n">
        <v>4027</v>
      </c>
      <c r="F276" s="2" t="n">
        <v>90</v>
      </c>
      <c r="G276" s="2" t="n">
        <v>21</v>
      </c>
      <c r="H276" s="2" t="n">
        <v>31</v>
      </c>
      <c r="I276" s="2" t="n">
        <v>7</v>
      </c>
      <c r="J276" s="2" t="n">
        <f aca="false">F276+G276+H276</f>
        <v>142</v>
      </c>
      <c r="K276" s="3" t="n">
        <f aca="false">J276/D276</f>
        <v>0.0515426497277677</v>
      </c>
    </row>
    <row r="277" customFormat="false" ht="15" hidden="false" customHeight="false" outlineLevel="0" collapsed="false">
      <c r="A277" s="2" t="s">
        <v>213</v>
      </c>
      <c r="B277" s="2" t="s">
        <v>22</v>
      </c>
      <c r="C277" s="2" t="s">
        <v>16</v>
      </c>
      <c r="D277" s="2" t="n">
        <v>747</v>
      </c>
      <c r="E277" s="2" t="n">
        <v>932</v>
      </c>
      <c r="F277" s="2" t="n">
        <v>43</v>
      </c>
      <c r="G277" s="2" t="n">
        <v>3</v>
      </c>
      <c r="H277" s="2" t="n">
        <v>16</v>
      </c>
      <c r="I277" s="2" t="n">
        <v>2</v>
      </c>
      <c r="J277" s="2" t="n">
        <f aca="false">F277+G277+H277</f>
        <v>62</v>
      </c>
      <c r="K277" s="3" t="n">
        <f aca="false">J277/D277</f>
        <v>0.0829986613119143</v>
      </c>
    </row>
    <row r="278" customFormat="false" ht="15" hidden="false" customHeight="false" outlineLevel="0" collapsed="false">
      <c r="A278" s="2" t="s">
        <v>214</v>
      </c>
      <c r="B278" s="2" t="s">
        <v>19</v>
      </c>
      <c r="C278" s="2" t="s">
        <v>23</v>
      </c>
      <c r="D278" s="2" t="n">
        <v>2813</v>
      </c>
      <c r="E278" s="2" t="n">
        <v>3660</v>
      </c>
      <c r="F278" s="2" t="n">
        <v>96</v>
      </c>
      <c r="G278" s="2" t="n">
        <v>11</v>
      </c>
      <c r="H278" s="2" t="n">
        <v>44</v>
      </c>
      <c r="I278" s="2" t="n">
        <v>11</v>
      </c>
      <c r="J278" s="2" t="n">
        <f aca="false">F278+G278+H278</f>
        <v>151</v>
      </c>
      <c r="K278" s="3" t="n">
        <f aca="false">J278/D278</f>
        <v>0.0536793458940633</v>
      </c>
    </row>
    <row r="279" customFormat="false" ht="15" hidden="false" customHeight="false" outlineLevel="0" collapsed="false">
      <c r="A279" s="2" t="s">
        <v>215</v>
      </c>
      <c r="B279" s="2" t="s">
        <v>15</v>
      </c>
      <c r="C279" s="2" t="s">
        <v>20</v>
      </c>
      <c r="D279" s="2" t="n">
        <v>4527</v>
      </c>
      <c r="E279" s="2" t="n">
        <v>5933</v>
      </c>
      <c r="F279" s="2" t="n">
        <v>187</v>
      </c>
      <c r="G279" s="2" t="n">
        <v>17</v>
      </c>
      <c r="H279" s="2" t="n">
        <v>68</v>
      </c>
      <c r="I279" s="2" t="n">
        <v>17</v>
      </c>
      <c r="J279" s="2" t="n">
        <f aca="false">F279+G279+H279</f>
        <v>272</v>
      </c>
      <c r="K279" s="3" t="n">
        <f aca="false">J279/D279</f>
        <v>0.0600839407996466</v>
      </c>
    </row>
    <row r="280" customFormat="false" ht="15" hidden="false" customHeight="false" outlineLevel="0" collapsed="false">
      <c r="A280" s="2" t="s">
        <v>216</v>
      </c>
      <c r="B280" s="2" t="s">
        <v>22</v>
      </c>
      <c r="C280" s="2" t="s">
        <v>16</v>
      </c>
      <c r="D280" s="2" t="n">
        <v>2473</v>
      </c>
      <c r="E280" s="2" t="n">
        <v>3157</v>
      </c>
      <c r="F280" s="2" t="n">
        <v>137</v>
      </c>
      <c r="G280" s="2" t="n">
        <v>27</v>
      </c>
      <c r="H280" s="2" t="n">
        <v>23</v>
      </c>
      <c r="I280" s="2" t="n">
        <v>11</v>
      </c>
      <c r="J280" s="2" t="n">
        <f aca="false">F280+G280+H280</f>
        <v>187</v>
      </c>
      <c r="K280" s="3" t="n">
        <f aca="false">J280/D280</f>
        <v>0.0756166599272139</v>
      </c>
    </row>
    <row r="281" customFormat="false" ht="15" hidden="false" customHeight="false" outlineLevel="0" collapsed="false">
      <c r="A281" s="2" t="s">
        <v>217</v>
      </c>
      <c r="B281" s="2" t="s">
        <v>12</v>
      </c>
      <c r="C281" s="2" t="s">
        <v>16</v>
      </c>
      <c r="D281" s="2" t="n">
        <v>1375</v>
      </c>
      <c r="E281" s="2" t="n">
        <v>2109</v>
      </c>
      <c r="F281" s="2" t="n">
        <v>37</v>
      </c>
      <c r="G281" s="2" t="n">
        <v>6</v>
      </c>
      <c r="H281" s="2" t="n">
        <v>8</v>
      </c>
      <c r="I281" s="2" t="n">
        <v>2</v>
      </c>
      <c r="J281" s="2" t="n">
        <f aca="false">F281+G281+H281</f>
        <v>51</v>
      </c>
      <c r="K281" s="3" t="n">
        <f aca="false">J281/D281</f>
        <v>0.0370909090909091</v>
      </c>
    </row>
    <row r="282" customFormat="false" ht="15" hidden="false" customHeight="false" outlineLevel="0" collapsed="false">
      <c r="A282" s="2" t="s">
        <v>217</v>
      </c>
      <c r="B282" s="2" t="s">
        <v>12</v>
      </c>
      <c r="C282" s="2" t="s">
        <v>20</v>
      </c>
      <c r="D282" s="2" t="n">
        <v>2663</v>
      </c>
      <c r="E282" s="2" t="n">
        <v>3666</v>
      </c>
      <c r="F282" s="2" t="n">
        <v>159</v>
      </c>
      <c r="G282" s="2" t="n">
        <v>33</v>
      </c>
      <c r="H282" s="2" t="n">
        <v>28</v>
      </c>
      <c r="I282" s="2" t="n">
        <v>6</v>
      </c>
      <c r="J282" s="2" t="n">
        <f aca="false">F282+G282+H282</f>
        <v>220</v>
      </c>
      <c r="K282" s="3" t="n">
        <f aca="false">J282/D282</f>
        <v>0.0826135936913256</v>
      </c>
    </row>
    <row r="283" customFormat="false" ht="15" hidden="false" customHeight="false" outlineLevel="0" collapsed="false">
      <c r="A283" s="2" t="s">
        <v>218</v>
      </c>
      <c r="B283" s="2" t="s">
        <v>12</v>
      </c>
      <c r="C283" s="2" t="s">
        <v>23</v>
      </c>
      <c r="D283" s="2" t="n">
        <v>1083</v>
      </c>
      <c r="E283" s="2" t="n">
        <v>1463</v>
      </c>
      <c r="F283" s="2" t="n">
        <v>42</v>
      </c>
      <c r="G283" s="2" t="n">
        <v>4</v>
      </c>
      <c r="H283" s="2" t="n">
        <v>19</v>
      </c>
      <c r="I283" s="2" t="n">
        <v>2</v>
      </c>
      <c r="J283" s="2" t="n">
        <f aca="false">F283+G283+H283</f>
        <v>65</v>
      </c>
      <c r="K283" s="3" t="n">
        <f aca="false">J283/D283</f>
        <v>0.0600184672206833</v>
      </c>
    </row>
    <row r="284" customFormat="false" ht="15" hidden="false" customHeight="false" outlineLevel="0" collapsed="false">
      <c r="A284" s="2" t="s">
        <v>218</v>
      </c>
      <c r="B284" s="2" t="s">
        <v>15</v>
      </c>
      <c r="C284" s="2" t="s">
        <v>20</v>
      </c>
      <c r="D284" s="2" t="n">
        <v>5093</v>
      </c>
      <c r="E284" s="2" t="n">
        <v>7367</v>
      </c>
      <c r="F284" s="2" t="n">
        <v>273</v>
      </c>
      <c r="G284" s="2" t="n">
        <v>31</v>
      </c>
      <c r="H284" s="2" t="n">
        <v>142</v>
      </c>
      <c r="I284" s="2" t="n">
        <v>34</v>
      </c>
      <c r="J284" s="2" t="n">
        <f aca="false">F284+G284+H284</f>
        <v>446</v>
      </c>
      <c r="K284" s="3" t="n">
        <f aca="false">J284/D284</f>
        <v>0.0875711761240919</v>
      </c>
    </row>
    <row r="285" customFormat="false" ht="15" hidden="false" customHeight="false" outlineLevel="0" collapsed="false">
      <c r="A285" s="2" t="s">
        <v>219</v>
      </c>
      <c r="B285" s="2" t="s">
        <v>22</v>
      </c>
      <c r="C285" s="2" t="s">
        <v>23</v>
      </c>
      <c r="D285" s="2" t="n">
        <v>4618</v>
      </c>
      <c r="E285" s="2" t="n">
        <v>6809</v>
      </c>
      <c r="F285" s="2" t="n">
        <v>283</v>
      </c>
      <c r="G285" s="2" t="n">
        <v>32</v>
      </c>
      <c r="H285" s="2" t="n">
        <v>75</v>
      </c>
      <c r="I285" s="2" t="n">
        <v>12</v>
      </c>
      <c r="J285" s="2" t="n">
        <f aca="false">F285+G285+H285</f>
        <v>390</v>
      </c>
      <c r="K285" s="3" t="n">
        <f aca="false">J285/D285</f>
        <v>0.0844521437851884</v>
      </c>
    </row>
    <row r="286" customFormat="false" ht="15" hidden="false" customHeight="false" outlineLevel="0" collapsed="false">
      <c r="A286" s="2" t="s">
        <v>220</v>
      </c>
      <c r="B286" s="2" t="s">
        <v>19</v>
      </c>
      <c r="C286" s="2" t="s">
        <v>18</v>
      </c>
      <c r="D286" s="2" t="n">
        <v>2044</v>
      </c>
      <c r="E286" s="2" t="n">
        <v>2718</v>
      </c>
      <c r="F286" s="2" t="n">
        <v>48</v>
      </c>
      <c r="G286" s="2" t="n">
        <v>10</v>
      </c>
      <c r="H286" s="2" t="n">
        <v>12</v>
      </c>
      <c r="I286" s="2" t="n">
        <v>4</v>
      </c>
      <c r="J286" s="2" t="n">
        <f aca="false">F286+G286+H286</f>
        <v>70</v>
      </c>
      <c r="K286" s="3" t="n">
        <f aca="false">J286/D286</f>
        <v>0.0342465753424658</v>
      </c>
    </row>
    <row r="287" customFormat="false" ht="15" hidden="false" customHeight="false" outlineLevel="0" collapsed="false">
      <c r="A287" s="2" t="s">
        <v>220</v>
      </c>
      <c r="B287" s="2" t="s">
        <v>15</v>
      </c>
      <c r="C287" s="2" t="s">
        <v>13</v>
      </c>
      <c r="D287" s="2" t="n">
        <v>3917</v>
      </c>
      <c r="E287" s="2" t="n">
        <v>6202</v>
      </c>
      <c r="F287" s="2" t="n">
        <v>149</v>
      </c>
      <c r="G287" s="2" t="n">
        <v>32</v>
      </c>
      <c r="H287" s="2" t="n">
        <v>62</v>
      </c>
      <c r="I287" s="2" t="n">
        <v>18</v>
      </c>
      <c r="J287" s="2" t="n">
        <f aca="false">F287+G287+H287</f>
        <v>243</v>
      </c>
      <c r="K287" s="3" t="n">
        <f aca="false">J287/D287</f>
        <v>0.0620372734235384</v>
      </c>
    </row>
    <row r="288" customFormat="false" ht="15" hidden="false" customHeight="false" outlineLevel="0" collapsed="false">
      <c r="A288" s="2" t="s">
        <v>221</v>
      </c>
      <c r="B288" s="2" t="s">
        <v>15</v>
      </c>
      <c r="C288" s="2" t="s">
        <v>16</v>
      </c>
      <c r="D288" s="2" t="n">
        <v>4929</v>
      </c>
      <c r="E288" s="2" t="n">
        <v>6385</v>
      </c>
      <c r="F288" s="2" t="n">
        <v>70</v>
      </c>
      <c r="G288" s="2" t="n">
        <v>15</v>
      </c>
      <c r="H288" s="2" t="n">
        <v>23</v>
      </c>
      <c r="I288" s="2" t="n">
        <v>2</v>
      </c>
      <c r="J288" s="2" t="n">
        <f aca="false">F288+G288+H288</f>
        <v>108</v>
      </c>
      <c r="K288" s="3" t="n">
        <f aca="false">J288/D288</f>
        <v>0.021911138161899</v>
      </c>
    </row>
    <row r="289" customFormat="false" ht="15" hidden="false" customHeight="false" outlineLevel="0" collapsed="false">
      <c r="A289" s="2" t="s">
        <v>222</v>
      </c>
      <c r="B289" s="2" t="s">
        <v>26</v>
      </c>
      <c r="C289" s="2" t="s">
        <v>18</v>
      </c>
      <c r="D289" s="2" t="n">
        <v>6972</v>
      </c>
      <c r="E289" s="2" t="n">
        <v>8198</v>
      </c>
      <c r="F289" s="2" t="n">
        <v>208</v>
      </c>
      <c r="G289" s="2" t="n">
        <v>39</v>
      </c>
      <c r="H289" s="2" t="n">
        <v>95</v>
      </c>
      <c r="I289" s="2" t="n">
        <v>14</v>
      </c>
      <c r="J289" s="2" t="n">
        <f aca="false">F289+G289+H289</f>
        <v>342</v>
      </c>
      <c r="K289" s="3" t="n">
        <f aca="false">J289/D289</f>
        <v>0.049053356282272</v>
      </c>
    </row>
    <row r="290" customFormat="false" ht="15" hidden="false" customHeight="false" outlineLevel="0" collapsed="false">
      <c r="A290" s="2" t="s">
        <v>222</v>
      </c>
      <c r="B290" s="2" t="s">
        <v>22</v>
      </c>
      <c r="C290" s="2" t="s">
        <v>16</v>
      </c>
      <c r="D290" s="2" t="n">
        <v>1044</v>
      </c>
      <c r="E290" s="2" t="n">
        <v>1611</v>
      </c>
      <c r="F290" s="2" t="n">
        <v>15</v>
      </c>
      <c r="G290" s="2" t="n">
        <v>3</v>
      </c>
      <c r="H290" s="2" t="n">
        <v>5</v>
      </c>
      <c r="I290" s="2" t="n">
        <v>1</v>
      </c>
      <c r="J290" s="2" t="n">
        <f aca="false">F290+G290+H290</f>
        <v>23</v>
      </c>
      <c r="K290" s="3" t="n">
        <f aca="false">J290/D290</f>
        <v>0.0220306513409962</v>
      </c>
    </row>
    <row r="291" customFormat="false" ht="15" hidden="false" customHeight="false" outlineLevel="0" collapsed="false">
      <c r="A291" s="2" t="s">
        <v>223</v>
      </c>
      <c r="B291" s="2" t="s">
        <v>26</v>
      </c>
      <c r="C291" s="2" t="s">
        <v>18</v>
      </c>
      <c r="D291" s="2" t="n">
        <v>10908</v>
      </c>
      <c r="E291" s="2" t="n">
        <v>13003</v>
      </c>
      <c r="F291" s="2" t="n">
        <v>209</v>
      </c>
      <c r="G291" s="2" t="n">
        <v>43</v>
      </c>
      <c r="H291" s="2" t="n">
        <v>85</v>
      </c>
      <c r="I291" s="2" t="n">
        <v>9</v>
      </c>
      <c r="J291" s="2" t="n">
        <f aca="false">F291+G291+H291</f>
        <v>337</v>
      </c>
      <c r="K291" s="3" t="n">
        <f aca="false">J291/D291</f>
        <v>0.0308947561422809</v>
      </c>
    </row>
    <row r="292" customFormat="false" ht="15" hidden="false" customHeight="false" outlineLevel="0" collapsed="false">
      <c r="A292" s="2" t="s">
        <v>223</v>
      </c>
      <c r="B292" s="2" t="s">
        <v>26</v>
      </c>
      <c r="C292" s="2" t="s">
        <v>23</v>
      </c>
      <c r="D292" s="2" t="n">
        <v>5164</v>
      </c>
      <c r="E292" s="2" t="n">
        <v>7951</v>
      </c>
      <c r="F292" s="2" t="n">
        <v>119</v>
      </c>
      <c r="G292" s="2" t="n">
        <v>17</v>
      </c>
      <c r="H292" s="2" t="n">
        <v>23</v>
      </c>
      <c r="I292" s="2" t="n">
        <v>5</v>
      </c>
      <c r="J292" s="2" t="n">
        <f aca="false">F292+G292+H292</f>
        <v>159</v>
      </c>
      <c r="K292" s="3" t="n">
        <f aca="false">J292/D292</f>
        <v>0.0307900852052672</v>
      </c>
    </row>
    <row r="293" customFormat="false" ht="15" hidden="false" customHeight="false" outlineLevel="0" collapsed="false">
      <c r="A293" s="2" t="s">
        <v>224</v>
      </c>
      <c r="B293" s="2" t="s">
        <v>12</v>
      </c>
      <c r="C293" s="2" t="s">
        <v>16</v>
      </c>
      <c r="D293" s="2" t="n">
        <v>2633</v>
      </c>
      <c r="E293" s="2" t="n">
        <v>4186</v>
      </c>
      <c r="F293" s="2" t="n">
        <v>87</v>
      </c>
      <c r="G293" s="2" t="n">
        <v>14</v>
      </c>
      <c r="H293" s="2" t="n">
        <v>35</v>
      </c>
      <c r="I293" s="2" t="n">
        <v>10</v>
      </c>
      <c r="J293" s="2" t="n">
        <f aca="false">F293+G293+H293</f>
        <v>136</v>
      </c>
      <c r="K293" s="3" t="n">
        <f aca="false">J293/D293</f>
        <v>0.0516521078617547</v>
      </c>
    </row>
    <row r="294" customFormat="false" ht="15" hidden="false" customHeight="false" outlineLevel="0" collapsed="false">
      <c r="A294" s="2" t="s">
        <v>225</v>
      </c>
      <c r="B294" s="2" t="s">
        <v>22</v>
      </c>
      <c r="C294" s="2" t="s">
        <v>20</v>
      </c>
      <c r="D294" s="2" t="n">
        <v>4086</v>
      </c>
      <c r="E294" s="2" t="n">
        <v>5436</v>
      </c>
      <c r="F294" s="2" t="n">
        <v>268</v>
      </c>
      <c r="G294" s="2" t="n">
        <v>41</v>
      </c>
      <c r="H294" s="2" t="n">
        <v>53</v>
      </c>
      <c r="I294" s="2" t="n">
        <v>10</v>
      </c>
      <c r="J294" s="2" t="n">
        <f aca="false">F294+G294+H294</f>
        <v>362</v>
      </c>
      <c r="K294" s="3" t="n">
        <f aca="false">J294/D294</f>
        <v>0.0885952031326481</v>
      </c>
    </row>
    <row r="295" customFormat="false" ht="15" hidden="false" customHeight="false" outlineLevel="0" collapsed="false">
      <c r="A295" s="2" t="s">
        <v>226</v>
      </c>
      <c r="B295" s="2" t="s">
        <v>12</v>
      </c>
      <c r="C295" s="2" t="s">
        <v>20</v>
      </c>
      <c r="D295" s="2" t="n">
        <v>2562</v>
      </c>
      <c r="E295" s="2" t="n">
        <v>4030</v>
      </c>
      <c r="F295" s="2" t="n">
        <v>73</v>
      </c>
      <c r="G295" s="2" t="n">
        <v>8</v>
      </c>
      <c r="H295" s="2" t="n">
        <v>36</v>
      </c>
      <c r="I295" s="2" t="n">
        <v>8</v>
      </c>
      <c r="J295" s="2" t="n">
        <f aca="false">F295+G295+H295</f>
        <v>117</v>
      </c>
      <c r="K295" s="3" t="n">
        <f aca="false">J295/D295</f>
        <v>0.0456674473067916</v>
      </c>
    </row>
    <row r="296" customFormat="false" ht="15" hidden="false" customHeight="false" outlineLevel="0" collapsed="false">
      <c r="A296" s="2" t="s">
        <v>227</v>
      </c>
      <c r="B296" s="2" t="s">
        <v>12</v>
      </c>
      <c r="C296" s="2" t="s">
        <v>18</v>
      </c>
      <c r="D296" s="2" t="n">
        <v>645</v>
      </c>
      <c r="E296" s="2" t="n">
        <v>804</v>
      </c>
      <c r="F296" s="2" t="n">
        <v>40</v>
      </c>
      <c r="G296" s="2" t="n">
        <v>5</v>
      </c>
      <c r="H296" s="2" t="n">
        <v>9</v>
      </c>
      <c r="I296" s="2" t="n">
        <v>2</v>
      </c>
      <c r="J296" s="2" t="n">
        <f aca="false">F296+G296+H296</f>
        <v>54</v>
      </c>
      <c r="K296" s="3" t="n">
        <f aca="false">J296/D296</f>
        <v>0.0837209302325581</v>
      </c>
    </row>
    <row r="297" customFormat="false" ht="15" hidden="false" customHeight="false" outlineLevel="0" collapsed="false">
      <c r="A297" s="2" t="s">
        <v>228</v>
      </c>
      <c r="B297" s="2" t="s">
        <v>15</v>
      </c>
      <c r="C297" s="2" t="s">
        <v>23</v>
      </c>
      <c r="D297" s="2" t="n">
        <v>6400</v>
      </c>
      <c r="E297" s="2" t="n">
        <v>9302</v>
      </c>
      <c r="F297" s="2" t="n">
        <v>181</v>
      </c>
      <c r="G297" s="2" t="n">
        <v>25</v>
      </c>
      <c r="H297" s="2" t="n">
        <v>79</v>
      </c>
      <c r="I297" s="2" t="n">
        <v>21</v>
      </c>
      <c r="J297" s="2" t="n">
        <f aca="false">F297+G297+H297</f>
        <v>285</v>
      </c>
      <c r="K297" s="3" t="n">
        <f aca="false">J297/D297</f>
        <v>0.04453125</v>
      </c>
    </row>
    <row r="298" customFormat="false" ht="15" hidden="false" customHeight="false" outlineLevel="0" collapsed="false">
      <c r="A298" s="2" t="s">
        <v>228</v>
      </c>
      <c r="B298" s="2" t="s">
        <v>22</v>
      </c>
      <c r="C298" s="2" t="s">
        <v>18</v>
      </c>
      <c r="D298" s="2" t="n">
        <v>3395</v>
      </c>
      <c r="E298" s="2" t="n">
        <v>4988</v>
      </c>
      <c r="F298" s="2" t="n">
        <v>82</v>
      </c>
      <c r="G298" s="2" t="n">
        <v>10</v>
      </c>
      <c r="H298" s="2" t="n">
        <v>33</v>
      </c>
      <c r="I298" s="2" t="n">
        <v>6</v>
      </c>
      <c r="J298" s="2" t="n">
        <f aca="false">F298+G298+H298</f>
        <v>125</v>
      </c>
      <c r="K298" s="3" t="n">
        <f aca="false">J298/D298</f>
        <v>0.0368188512518409</v>
      </c>
    </row>
    <row r="299" customFormat="false" ht="15" hidden="false" customHeight="false" outlineLevel="0" collapsed="false">
      <c r="A299" s="2" t="s">
        <v>229</v>
      </c>
      <c r="B299" s="2" t="s">
        <v>22</v>
      </c>
      <c r="C299" s="2" t="s">
        <v>16</v>
      </c>
      <c r="D299" s="2" t="n">
        <v>3268</v>
      </c>
      <c r="E299" s="2" t="n">
        <v>4921</v>
      </c>
      <c r="F299" s="2" t="n">
        <v>130</v>
      </c>
      <c r="G299" s="2" t="n">
        <v>22</v>
      </c>
      <c r="H299" s="2" t="n">
        <v>23</v>
      </c>
      <c r="I299" s="2" t="n">
        <v>14</v>
      </c>
      <c r="J299" s="2" t="n">
        <f aca="false">F299+G299+H299</f>
        <v>175</v>
      </c>
      <c r="K299" s="3" t="n">
        <f aca="false">J299/D299</f>
        <v>0.0535495716034272</v>
      </c>
    </row>
    <row r="300" customFormat="false" ht="15" hidden="false" customHeight="false" outlineLevel="0" collapsed="false">
      <c r="A300" s="2" t="s">
        <v>229</v>
      </c>
      <c r="B300" s="2" t="s">
        <v>15</v>
      </c>
      <c r="C300" s="2" t="s">
        <v>20</v>
      </c>
      <c r="D300" s="2" t="n">
        <v>4876</v>
      </c>
      <c r="E300" s="2" t="n">
        <v>6673</v>
      </c>
      <c r="F300" s="2" t="n">
        <v>251</v>
      </c>
      <c r="G300" s="2" t="n">
        <v>48</v>
      </c>
      <c r="H300" s="2" t="n">
        <v>103</v>
      </c>
      <c r="I300" s="2" t="n">
        <v>22</v>
      </c>
      <c r="J300" s="2" t="n">
        <f aca="false">F300+G300+H300</f>
        <v>402</v>
      </c>
      <c r="K300" s="3" t="n">
        <f aca="false">J300/D300</f>
        <v>0.0824446267432322</v>
      </c>
    </row>
    <row r="301" customFormat="false" ht="15" hidden="false" customHeight="false" outlineLevel="0" collapsed="false">
      <c r="A301" s="2" t="s">
        <v>230</v>
      </c>
      <c r="B301" s="2" t="s">
        <v>26</v>
      </c>
      <c r="C301" s="2" t="s">
        <v>18</v>
      </c>
      <c r="D301" s="2" t="n">
        <v>9728</v>
      </c>
      <c r="E301" s="2" t="n">
        <v>14914</v>
      </c>
      <c r="F301" s="2" t="n">
        <v>422</v>
      </c>
      <c r="G301" s="2" t="n">
        <v>89</v>
      </c>
      <c r="H301" s="2" t="n">
        <v>184</v>
      </c>
      <c r="I301" s="2" t="n">
        <v>32</v>
      </c>
      <c r="J301" s="2" t="n">
        <f aca="false">F301+G301+H301</f>
        <v>695</v>
      </c>
      <c r="K301" s="3" t="n">
        <f aca="false">J301/D301</f>
        <v>0.0714432565789474</v>
      </c>
    </row>
    <row r="302" customFormat="false" ht="15" hidden="false" customHeight="false" outlineLevel="0" collapsed="false">
      <c r="A302" s="2" t="s">
        <v>231</v>
      </c>
      <c r="B302" s="2" t="s">
        <v>26</v>
      </c>
      <c r="C302" s="2" t="s">
        <v>13</v>
      </c>
      <c r="D302" s="2" t="n">
        <v>7947</v>
      </c>
      <c r="E302" s="2" t="n">
        <v>12403</v>
      </c>
      <c r="F302" s="2" t="n">
        <v>150</v>
      </c>
      <c r="G302" s="2" t="n">
        <v>23</v>
      </c>
      <c r="H302" s="2" t="n">
        <v>60</v>
      </c>
      <c r="I302" s="2" t="n">
        <v>10</v>
      </c>
      <c r="J302" s="2" t="n">
        <f aca="false">F302+G302+H302</f>
        <v>233</v>
      </c>
      <c r="K302" s="3" t="n">
        <f aca="false">J302/D302</f>
        <v>0.0293192399647666</v>
      </c>
    </row>
    <row r="303" customFormat="false" ht="15" hidden="false" customHeight="false" outlineLevel="0" collapsed="false">
      <c r="A303" s="2" t="s">
        <v>232</v>
      </c>
      <c r="B303" s="2" t="s">
        <v>22</v>
      </c>
      <c r="C303" s="2" t="s">
        <v>23</v>
      </c>
      <c r="D303" s="2" t="n">
        <v>2615</v>
      </c>
      <c r="E303" s="2" t="n">
        <v>4045</v>
      </c>
      <c r="F303" s="2" t="n">
        <v>140</v>
      </c>
      <c r="G303" s="2" t="n">
        <v>17</v>
      </c>
      <c r="H303" s="2" t="n">
        <v>75</v>
      </c>
      <c r="I303" s="2" t="n">
        <v>16</v>
      </c>
      <c r="J303" s="2" t="n">
        <f aca="false">F303+G303+H303</f>
        <v>232</v>
      </c>
      <c r="K303" s="3" t="n">
        <f aca="false">J303/D303</f>
        <v>0.0887189292543021</v>
      </c>
    </row>
    <row r="304" customFormat="false" ht="15" hidden="false" customHeight="false" outlineLevel="0" collapsed="false">
      <c r="A304" s="2" t="s">
        <v>233</v>
      </c>
      <c r="B304" s="2" t="s">
        <v>15</v>
      </c>
      <c r="C304" s="2" t="s">
        <v>23</v>
      </c>
      <c r="D304" s="2" t="n">
        <v>4271</v>
      </c>
      <c r="E304" s="2" t="n">
        <v>5005</v>
      </c>
      <c r="F304" s="2" t="n">
        <v>215</v>
      </c>
      <c r="G304" s="2" t="n">
        <v>22</v>
      </c>
      <c r="H304" s="2" t="n">
        <v>116</v>
      </c>
      <c r="I304" s="2" t="n">
        <v>27</v>
      </c>
      <c r="J304" s="2" t="n">
        <f aca="false">F304+G304+H304</f>
        <v>353</v>
      </c>
      <c r="K304" s="3" t="n">
        <f aca="false">J304/D304</f>
        <v>0.0826504331538281</v>
      </c>
    </row>
    <row r="305" customFormat="false" ht="15" hidden="false" customHeight="false" outlineLevel="0" collapsed="false">
      <c r="A305" s="2" t="s">
        <v>234</v>
      </c>
      <c r="B305" s="2" t="s">
        <v>15</v>
      </c>
      <c r="C305" s="2" t="s">
        <v>16</v>
      </c>
      <c r="D305" s="2" t="n">
        <v>2418</v>
      </c>
      <c r="E305" s="2" t="n">
        <v>2942</v>
      </c>
      <c r="F305" s="2" t="n">
        <v>117</v>
      </c>
      <c r="G305" s="2" t="n">
        <v>11</v>
      </c>
      <c r="H305" s="2" t="n">
        <v>45</v>
      </c>
      <c r="I305" s="2" t="n">
        <v>7</v>
      </c>
      <c r="J305" s="2" t="n">
        <f aca="false">F305+G305+H305</f>
        <v>173</v>
      </c>
      <c r="K305" s="3" t="n">
        <f aca="false">J305/D305</f>
        <v>0.0715467328370554</v>
      </c>
    </row>
    <row r="306" customFormat="false" ht="15" hidden="false" customHeight="false" outlineLevel="0" collapsed="false">
      <c r="A306" s="2" t="s">
        <v>235</v>
      </c>
      <c r="B306" s="2" t="s">
        <v>22</v>
      </c>
      <c r="C306" s="2" t="s">
        <v>18</v>
      </c>
      <c r="D306" s="2" t="n">
        <v>5047</v>
      </c>
      <c r="E306" s="2" t="n">
        <v>6313</v>
      </c>
      <c r="F306" s="2" t="n">
        <v>90</v>
      </c>
      <c r="G306" s="2" t="n">
        <v>7</v>
      </c>
      <c r="H306" s="2" t="n">
        <v>30</v>
      </c>
      <c r="I306" s="2" t="n">
        <v>5</v>
      </c>
      <c r="J306" s="2" t="n">
        <f aca="false">F306+G306+H306</f>
        <v>127</v>
      </c>
      <c r="K306" s="3" t="n">
        <f aca="false">J306/D306</f>
        <v>0.0251634634436299</v>
      </c>
    </row>
    <row r="307" customFormat="false" ht="15" hidden="false" customHeight="false" outlineLevel="0" collapsed="false">
      <c r="A307" s="2" t="s">
        <v>235</v>
      </c>
      <c r="B307" s="2" t="s">
        <v>26</v>
      </c>
      <c r="C307" s="2" t="s">
        <v>18</v>
      </c>
      <c r="D307" s="2" t="n">
        <v>1887</v>
      </c>
      <c r="E307" s="2" t="n">
        <v>2602</v>
      </c>
      <c r="F307" s="2" t="n">
        <v>63</v>
      </c>
      <c r="G307" s="2" t="n">
        <v>8</v>
      </c>
      <c r="H307" s="2" t="n">
        <v>21</v>
      </c>
      <c r="I307" s="2" t="n">
        <v>2</v>
      </c>
      <c r="J307" s="2" t="n">
        <f aca="false">F307+G307+H307</f>
        <v>92</v>
      </c>
      <c r="K307" s="3" t="n">
        <f aca="false">J307/D307</f>
        <v>0.0487546369899311</v>
      </c>
    </row>
    <row r="308" customFormat="false" ht="15" hidden="false" customHeight="false" outlineLevel="0" collapsed="false">
      <c r="A308" s="2" t="s">
        <v>235</v>
      </c>
      <c r="B308" s="2" t="s">
        <v>12</v>
      </c>
      <c r="C308" s="2" t="s">
        <v>23</v>
      </c>
      <c r="D308" s="2" t="n">
        <v>1070</v>
      </c>
      <c r="E308" s="2" t="n">
        <v>1563</v>
      </c>
      <c r="F308" s="2" t="n">
        <v>69</v>
      </c>
      <c r="G308" s="2" t="n">
        <v>12</v>
      </c>
      <c r="H308" s="2" t="n">
        <v>14</v>
      </c>
      <c r="I308" s="2" t="n">
        <v>4</v>
      </c>
      <c r="J308" s="2" t="n">
        <f aca="false">F308+G308+H308</f>
        <v>95</v>
      </c>
      <c r="K308" s="3" t="n">
        <f aca="false">J308/D308</f>
        <v>0.088785046728972</v>
      </c>
    </row>
    <row r="309" customFormat="false" ht="15" hidden="false" customHeight="false" outlineLevel="0" collapsed="false">
      <c r="A309" s="2" t="s">
        <v>236</v>
      </c>
      <c r="B309" s="2" t="s">
        <v>26</v>
      </c>
      <c r="C309" s="2" t="s">
        <v>23</v>
      </c>
      <c r="D309" s="2" t="n">
        <v>6544</v>
      </c>
      <c r="E309" s="2" t="n">
        <v>9766</v>
      </c>
      <c r="F309" s="2" t="n">
        <v>386</v>
      </c>
      <c r="G309" s="2" t="n">
        <v>75</v>
      </c>
      <c r="H309" s="2" t="n">
        <v>74</v>
      </c>
      <c r="I309" s="2" t="n">
        <v>31</v>
      </c>
      <c r="J309" s="2" t="n">
        <f aca="false">F309+G309+H309</f>
        <v>535</v>
      </c>
      <c r="K309" s="3" t="n">
        <f aca="false">J309/D309</f>
        <v>0.0817542787286064</v>
      </c>
    </row>
    <row r="310" customFormat="false" ht="15" hidden="false" customHeight="false" outlineLevel="0" collapsed="false">
      <c r="A310" s="2" t="s">
        <v>237</v>
      </c>
      <c r="B310" s="2" t="s">
        <v>26</v>
      </c>
      <c r="C310" s="2" t="s">
        <v>16</v>
      </c>
      <c r="D310" s="2" t="n">
        <v>6438</v>
      </c>
      <c r="E310" s="2" t="n">
        <v>9795</v>
      </c>
      <c r="F310" s="2" t="n">
        <v>262</v>
      </c>
      <c r="G310" s="2" t="n">
        <v>48</v>
      </c>
      <c r="H310" s="2" t="n">
        <v>118</v>
      </c>
      <c r="I310" s="2" t="n">
        <v>9</v>
      </c>
      <c r="J310" s="2" t="n">
        <f aca="false">F310+G310+H310</f>
        <v>428</v>
      </c>
      <c r="K310" s="3" t="n">
        <f aca="false">J310/D310</f>
        <v>0.0664802733768251</v>
      </c>
    </row>
    <row r="311" customFormat="false" ht="15" hidden="false" customHeight="false" outlineLevel="0" collapsed="false">
      <c r="A311" s="2" t="s">
        <v>238</v>
      </c>
      <c r="B311" s="2" t="s">
        <v>12</v>
      </c>
      <c r="C311" s="2" t="s">
        <v>23</v>
      </c>
      <c r="D311" s="2" t="n">
        <v>50</v>
      </c>
      <c r="E311" s="2" t="n">
        <v>70</v>
      </c>
      <c r="F311" s="2" t="n">
        <v>1</v>
      </c>
      <c r="G311" s="2" t="n">
        <v>0</v>
      </c>
      <c r="H311" s="2" t="n">
        <v>1</v>
      </c>
      <c r="I311" s="2" t="n">
        <v>0</v>
      </c>
      <c r="J311" s="2" t="n">
        <f aca="false">F311+G311+H311</f>
        <v>2</v>
      </c>
      <c r="K311" s="3" t="n">
        <f aca="false">J311/D311</f>
        <v>0.04</v>
      </c>
    </row>
    <row r="312" customFormat="false" ht="15" hidden="false" customHeight="false" outlineLevel="0" collapsed="false">
      <c r="A312" s="2" t="s">
        <v>239</v>
      </c>
      <c r="B312" s="2" t="s">
        <v>26</v>
      </c>
      <c r="C312" s="2" t="s">
        <v>18</v>
      </c>
      <c r="D312" s="2" t="n">
        <v>9533</v>
      </c>
      <c r="E312" s="2" t="n">
        <v>14693</v>
      </c>
      <c r="F312" s="2" t="n">
        <v>261</v>
      </c>
      <c r="G312" s="2" t="n">
        <v>63</v>
      </c>
      <c r="H312" s="2" t="n">
        <v>104</v>
      </c>
      <c r="I312" s="2" t="n">
        <v>15</v>
      </c>
      <c r="J312" s="2" t="n">
        <f aca="false">F312+G312+H312</f>
        <v>428</v>
      </c>
      <c r="K312" s="3" t="n">
        <f aca="false">J312/D312</f>
        <v>0.0448966747089059</v>
      </c>
    </row>
    <row r="313" customFormat="false" ht="15" hidden="false" customHeight="false" outlineLevel="0" collapsed="false">
      <c r="A313" s="2" t="s">
        <v>240</v>
      </c>
      <c r="B313" s="2" t="s">
        <v>12</v>
      </c>
      <c r="C313" s="2" t="s">
        <v>16</v>
      </c>
      <c r="D313" s="2" t="n">
        <v>833</v>
      </c>
      <c r="E313" s="2" t="n">
        <v>1245</v>
      </c>
      <c r="F313" s="2" t="n">
        <v>23</v>
      </c>
      <c r="G313" s="2" t="n">
        <v>4</v>
      </c>
      <c r="H313" s="2" t="n">
        <v>5</v>
      </c>
      <c r="I313" s="2" t="n">
        <v>1</v>
      </c>
      <c r="J313" s="2" t="n">
        <f aca="false">F313+G313+H313</f>
        <v>32</v>
      </c>
      <c r="K313" s="3" t="n">
        <f aca="false">J313/D313</f>
        <v>0.0384153661464586</v>
      </c>
    </row>
    <row r="314" customFormat="false" ht="15" hidden="false" customHeight="false" outlineLevel="0" collapsed="false">
      <c r="A314" s="2" t="s">
        <v>240</v>
      </c>
      <c r="B314" s="2" t="s">
        <v>19</v>
      </c>
      <c r="C314" s="2" t="s">
        <v>16</v>
      </c>
      <c r="D314" s="2" t="n">
        <v>2310</v>
      </c>
      <c r="E314" s="2" t="n">
        <v>3620</v>
      </c>
      <c r="F314" s="2" t="n">
        <v>90</v>
      </c>
      <c r="G314" s="2" t="n">
        <v>14</v>
      </c>
      <c r="H314" s="2" t="n">
        <v>28</v>
      </c>
      <c r="I314" s="2" t="n">
        <v>9</v>
      </c>
      <c r="J314" s="2" t="n">
        <f aca="false">F314+G314+H314</f>
        <v>132</v>
      </c>
      <c r="K314" s="3" t="n">
        <f aca="false">J314/D314</f>
        <v>0.0571428571428571</v>
      </c>
    </row>
    <row r="315" customFormat="false" ht="15" hidden="false" customHeight="false" outlineLevel="0" collapsed="false">
      <c r="A315" s="2" t="s">
        <v>241</v>
      </c>
      <c r="B315" s="2" t="s">
        <v>26</v>
      </c>
      <c r="C315" s="2" t="s">
        <v>23</v>
      </c>
      <c r="D315" s="2" t="n">
        <v>8858</v>
      </c>
      <c r="E315" s="2" t="n">
        <v>10895</v>
      </c>
      <c r="F315" s="2" t="n">
        <v>557</v>
      </c>
      <c r="G315" s="2" t="n">
        <v>88</v>
      </c>
      <c r="H315" s="2" t="n">
        <v>120</v>
      </c>
      <c r="I315" s="2" t="n">
        <v>57</v>
      </c>
      <c r="J315" s="2" t="n">
        <f aca="false">F315+G315+H315</f>
        <v>765</v>
      </c>
      <c r="K315" s="3" t="n">
        <f aca="false">J315/D315</f>
        <v>0.0863626100699932</v>
      </c>
    </row>
    <row r="316" customFormat="false" ht="15" hidden="false" customHeight="false" outlineLevel="0" collapsed="false">
      <c r="A316" s="2" t="s">
        <v>242</v>
      </c>
      <c r="B316" s="2" t="s">
        <v>26</v>
      </c>
      <c r="C316" s="2" t="s">
        <v>23</v>
      </c>
      <c r="D316" s="2" t="n">
        <v>8517</v>
      </c>
      <c r="E316" s="2" t="n">
        <v>10758</v>
      </c>
      <c r="F316" s="2" t="n">
        <v>152</v>
      </c>
      <c r="G316" s="2" t="n">
        <v>30</v>
      </c>
      <c r="H316" s="2" t="n">
        <v>50</v>
      </c>
      <c r="I316" s="2" t="n">
        <v>12</v>
      </c>
      <c r="J316" s="2" t="n">
        <f aca="false">F316+G316+H316</f>
        <v>232</v>
      </c>
      <c r="K316" s="3" t="n">
        <f aca="false">J316/D316</f>
        <v>0.0272396383703182</v>
      </c>
    </row>
    <row r="317" customFormat="false" ht="15" hidden="false" customHeight="false" outlineLevel="0" collapsed="false">
      <c r="A317" s="2" t="s">
        <v>243</v>
      </c>
      <c r="B317" s="2" t="s">
        <v>22</v>
      </c>
      <c r="C317" s="2" t="s">
        <v>23</v>
      </c>
      <c r="D317" s="2" t="n">
        <v>3679</v>
      </c>
      <c r="E317" s="2" t="n">
        <v>5381</v>
      </c>
      <c r="F317" s="2" t="n">
        <v>127</v>
      </c>
      <c r="G317" s="2" t="n">
        <v>25</v>
      </c>
      <c r="H317" s="2" t="n">
        <v>37</v>
      </c>
      <c r="I317" s="2" t="n">
        <v>12</v>
      </c>
      <c r="J317" s="2" t="n">
        <f aca="false">F317+G317+H317</f>
        <v>189</v>
      </c>
      <c r="K317" s="3" t="n">
        <f aca="false">J317/D317</f>
        <v>0.0513726556129383</v>
      </c>
    </row>
    <row r="318" customFormat="false" ht="15" hidden="false" customHeight="false" outlineLevel="0" collapsed="false">
      <c r="A318" s="2" t="s">
        <v>244</v>
      </c>
      <c r="B318" s="2" t="s">
        <v>22</v>
      </c>
      <c r="C318" s="2" t="s">
        <v>16</v>
      </c>
      <c r="D318" s="2" t="n">
        <v>2382</v>
      </c>
      <c r="E318" s="2" t="n">
        <v>3300</v>
      </c>
      <c r="F318" s="2" t="n">
        <v>115</v>
      </c>
      <c r="G318" s="2" t="n">
        <v>19</v>
      </c>
      <c r="H318" s="2" t="n">
        <v>47</v>
      </c>
      <c r="I318" s="2" t="n">
        <v>4</v>
      </c>
      <c r="J318" s="2" t="n">
        <f aca="false">F318+G318+H318</f>
        <v>181</v>
      </c>
      <c r="K318" s="3" t="n">
        <f aca="false">J318/D318</f>
        <v>0.0759865659109992</v>
      </c>
    </row>
    <row r="319" customFormat="false" ht="15" hidden="false" customHeight="false" outlineLevel="0" collapsed="false">
      <c r="A319" s="2" t="s">
        <v>244</v>
      </c>
      <c r="B319" s="2" t="s">
        <v>15</v>
      </c>
      <c r="C319" s="2" t="s">
        <v>16</v>
      </c>
      <c r="D319" s="2" t="n">
        <v>3057</v>
      </c>
      <c r="E319" s="2" t="n">
        <v>3761</v>
      </c>
      <c r="F319" s="2" t="n">
        <v>138</v>
      </c>
      <c r="G319" s="2" t="n">
        <v>18</v>
      </c>
      <c r="H319" s="2" t="n">
        <v>59</v>
      </c>
      <c r="I319" s="2" t="n">
        <v>7</v>
      </c>
      <c r="J319" s="2" t="n">
        <f aca="false">F319+G319+H319</f>
        <v>215</v>
      </c>
      <c r="K319" s="3" t="n">
        <f aca="false">J319/D319</f>
        <v>0.0703303892705267</v>
      </c>
    </row>
    <row r="320" customFormat="false" ht="15" hidden="false" customHeight="false" outlineLevel="0" collapsed="false">
      <c r="A320" s="2" t="s">
        <v>245</v>
      </c>
      <c r="B320" s="2" t="s">
        <v>26</v>
      </c>
      <c r="C320" s="2" t="s">
        <v>18</v>
      </c>
      <c r="D320" s="2" t="n">
        <v>11986</v>
      </c>
      <c r="E320" s="2" t="n">
        <v>15351</v>
      </c>
      <c r="F320" s="2" t="n">
        <v>661</v>
      </c>
      <c r="G320" s="2" t="n">
        <v>109</v>
      </c>
      <c r="H320" s="2" t="n">
        <v>125</v>
      </c>
      <c r="I320" s="2" t="n">
        <v>38</v>
      </c>
      <c r="J320" s="2" t="n">
        <f aca="false">F320+G320+H320</f>
        <v>895</v>
      </c>
      <c r="K320" s="3" t="n">
        <f aca="false">J320/D320</f>
        <v>0.0746704488569998</v>
      </c>
    </row>
    <row r="321" customFormat="false" ht="15" hidden="false" customHeight="false" outlineLevel="0" collapsed="false">
      <c r="A321" s="2" t="s">
        <v>245</v>
      </c>
      <c r="B321" s="2" t="s">
        <v>15</v>
      </c>
      <c r="C321" s="2" t="s">
        <v>20</v>
      </c>
      <c r="D321" s="2" t="n">
        <v>8525</v>
      </c>
      <c r="E321" s="2" t="n">
        <v>13524</v>
      </c>
      <c r="F321" s="2" t="n">
        <v>296</v>
      </c>
      <c r="G321" s="2" t="n">
        <v>32</v>
      </c>
      <c r="H321" s="2" t="n">
        <v>100</v>
      </c>
      <c r="I321" s="2" t="n">
        <v>15</v>
      </c>
      <c r="J321" s="2" t="n">
        <f aca="false">F321+G321+H321</f>
        <v>428</v>
      </c>
      <c r="K321" s="3" t="n">
        <f aca="false">J321/D321</f>
        <v>0.0502052785923754</v>
      </c>
    </row>
    <row r="322" customFormat="false" ht="15" hidden="false" customHeight="false" outlineLevel="0" collapsed="false">
      <c r="A322" s="2" t="s">
        <v>246</v>
      </c>
      <c r="B322" s="2" t="s">
        <v>26</v>
      </c>
      <c r="C322" s="2" t="s">
        <v>16</v>
      </c>
      <c r="D322" s="2" t="n">
        <v>4760</v>
      </c>
      <c r="E322" s="2" t="n">
        <v>6180</v>
      </c>
      <c r="F322" s="2" t="n">
        <v>85</v>
      </c>
      <c r="G322" s="2" t="n">
        <v>10</v>
      </c>
      <c r="H322" s="2" t="n">
        <v>24</v>
      </c>
      <c r="I322" s="2" t="n">
        <v>6</v>
      </c>
      <c r="J322" s="2" t="n">
        <f aca="false">F322+G322+H322</f>
        <v>119</v>
      </c>
      <c r="K322" s="3" t="n">
        <f aca="false">J322/D322</f>
        <v>0.025</v>
      </c>
    </row>
    <row r="323" customFormat="false" ht="15" hidden="false" customHeight="false" outlineLevel="0" collapsed="false">
      <c r="A323" s="2" t="s">
        <v>246</v>
      </c>
      <c r="B323" s="2" t="s">
        <v>22</v>
      </c>
      <c r="C323" s="2" t="s">
        <v>13</v>
      </c>
      <c r="D323" s="2" t="n">
        <v>4424</v>
      </c>
      <c r="E323" s="2" t="n">
        <v>5302</v>
      </c>
      <c r="F323" s="2" t="n">
        <v>195</v>
      </c>
      <c r="G323" s="2" t="n">
        <v>32</v>
      </c>
      <c r="H323" s="2" t="n">
        <v>36</v>
      </c>
      <c r="I323" s="2" t="n">
        <v>12</v>
      </c>
      <c r="J323" s="2" t="n">
        <f aca="false">F323+G323+H323</f>
        <v>263</v>
      </c>
      <c r="K323" s="3" t="n">
        <f aca="false">J323/D323</f>
        <v>0.0594484629294756</v>
      </c>
    </row>
    <row r="324" customFormat="false" ht="15" hidden="false" customHeight="false" outlineLevel="0" collapsed="false">
      <c r="A324" s="2" t="s">
        <v>247</v>
      </c>
      <c r="B324" s="2" t="s">
        <v>22</v>
      </c>
      <c r="C324" s="2" t="s">
        <v>18</v>
      </c>
      <c r="D324" s="2" t="n">
        <v>1124</v>
      </c>
      <c r="E324" s="2" t="n">
        <v>1632</v>
      </c>
      <c r="F324" s="2" t="n">
        <v>53</v>
      </c>
      <c r="G324" s="2" t="n">
        <v>4</v>
      </c>
      <c r="H324" s="2" t="n">
        <v>24</v>
      </c>
      <c r="I324" s="2" t="n">
        <v>5</v>
      </c>
      <c r="J324" s="2" t="n">
        <f aca="false">F324+G324+H324</f>
        <v>81</v>
      </c>
      <c r="K324" s="3" t="n">
        <f aca="false">J324/D324</f>
        <v>0.0720640569395018</v>
      </c>
    </row>
    <row r="325" customFormat="false" ht="15" hidden="false" customHeight="false" outlineLevel="0" collapsed="false">
      <c r="A325" s="2" t="s">
        <v>248</v>
      </c>
      <c r="B325" s="2" t="s">
        <v>15</v>
      </c>
      <c r="C325" s="2" t="s">
        <v>13</v>
      </c>
      <c r="D325" s="2" t="n">
        <v>5036</v>
      </c>
      <c r="E325" s="2" t="n">
        <v>6022</v>
      </c>
      <c r="F325" s="2" t="n">
        <v>94</v>
      </c>
      <c r="G325" s="2" t="n">
        <v>14</v>
      </c>
      <c r="H325" s="2" t="n">
        <v>24</v>
      </c>
      <c r="I325" s="2" t="n">
        <v>3</v>
      </c>
      <c r="J325" s="2" t="n">
        <f aca="false">F325+G325+H325</f>
        <v>132</v>
      </c>
      <c r="K325" s="3" t="n">
        <f aca="false">J325/D325</f>
        <v>0.0262112787926926</v>
      </c>
    </row>
    <row r="326" customFormat="false" ht="15" hidden="false" customHeight="false" outlineLevel="0" collapsed="false">
      <c r="A326" s="2" t="s">
        <v>249</v>
      </c>
      <c r="B326" s="2" t="s">
        <v>12</v>
      </c>
      <c r="C326" s="2" t="s">
        <v>23</v>
      </c>
      <c r="D326" s="2" t="n">
        <v>2092</v>
      </c>
      <c r="E326" s="2" t="n">
        <v>2789</v>
      </c>
      <c r="F326" s="2" t="n">
        <v>34</v>
      </c>
      <c r="G326" s="2" t="n">
        <v>4</v>
      </c>
      <c r="H326" s="2" t="n">
        <v>11</v>
      </c>
      <c r="I326" s="2" t="n">
        <v>2</v>
      </c>
      <c r="J326" s="2" t="n">
        <f aca="false">F326+G326+H326</f>
        <v>49</v>
      </c>
      <c r="K326" s="3" t="n">
        <f aca="false">J326/D326</f>
        <v>0.0234225621414914</v>
      </c>
    </row>
    <row r="327" customFormat="false" ht="15" hidden="false" customHeight="false" outlineLevel="0" collapsed="false">
      <c r="A327" s="2" t="s">
        <v>250</v>
      </c>
      <c r="B327" s="2" t="s">
        <v>19</v>
      </c>
      <c r="C327" s="2" t="s">
        <v>13</v>
      </c>
      <c r="D327" s="2" t="n">
        <v>1905</v>
      </c>
      <c r="E327" s="2" t="n">
        <v>2459</v>
      </c>
      <c r="F327" s="2" t="n">
        <v>52</v>
      </c>
      <c r="G327" s="2" t="n">
        <v>8</v>
      </c>
      <c r="H327" s="2" t="n">
        <v>12</v>
      </c>
      <c r="I327" s="2" t="n">
        <v>4</v>
      </c>
      <c r="J327" s="2" t="n">
        <f aca="false">F327+G327+H327</f>
        <v>72</v>
      </c>
      <c r="K327" s="3" t="n">
        <f aca="false">J327/D327</f>
        <v>0.0377952755905512</v>
      </c>
    </row>
    <row r="328" customFormat="false" ht="15" hidden="false" customHeight="false" outlineLevel="0" collapsed="false">
      <c r="A328" s="2" t="s">
        <v>251</v>
      </c>
      <c r="B328" s="2" t="s">
        <v>15</v>
      </c>
      <c r="C328" s="2" t="s">
        <v>23</v>
      </c>
      <c r="D328" s="2" t="n">
        <v>6463</v>
      </c>
      <c r="E328" s="2" t="n">
        <v>8180</v>
      </c>
      <c r="F328" s="2" t="n">
        <v>134</v>
      </c>
      <c r="G328" s="2" t="n">
        <v>23</v>
      </c>
      <c r="H328" s="2" t="n">
        <v>64</v>
      </c>
      <c r="I328" s="2" t="n">
        <v>9</v>
      </c>
      <c r="J328" s="2" t="n">
        <f aca="false">F328+G328+H328</f>
        <v>221</v>
      </c>
      <c r="K328" s="3" t="n">
        <f aca="false">J328/D328</f>
        <v>0.0341946464490175</v>
      </c>
    </row>
    <row r="329" customFormat="false" ht="15" hidden="false" customHeight="false" outlineLevel="0" collapsed="false">
      <c r="A329" s="2" t="s">
        <v>252</v>
      </c>
      <c r="B329" s="2" t="s">
        <v>19</v>
      </c>
      <c r="C329" s="2" t="s">
        <v>20</v>
      </c>
      <c r="D329" s="2" t="n">
        <v>786</v>
      </c>
      <c r="E329" s="2" t="n">
        <v>1233</v>
      </c>
      <c r="F329" s="2" t="n">
        <v>23</v>
      </c>
      <c r="G329" s="2" t="n">
        <v>4</v>
      </c>
      <c r="H329" s="2" t="n">
        <v>8</v>
      </c>
      <c r="I329" s="2" t="n">
        <v>2</v>
      </c>
      <c r="J329" s="2" t="n">
        <f aca="false">F329+G329+H329</f>
        <v>35</v>
      </c>
      <c r="K329" s="3" t="n">
        <f aca="false">J329/D329</f>
        <v>0.044529262086514</v>
      </c>
    </row>
    <row r="330" customFormat="false" ht="15" hidden="false" customHeight="false" outlineLevel="0" collapsed="false">
      <c r="A330" s="2" t="s">
        <v>253</v>
      </c>
      <c r="B330" s="2" t="s">
        <v>26</v>
      </c>
      <c r="C330" s="2" t="s">
        <v>20</v>
      </c>
      <c r="D330" s="2" t="n">
        <v>9378</v>
      </c>
      <c r="E330" s="2" t="n">
        <v>12638</v>
      </c>
      <c r="F330" s="2" t="n">
        <v>201</v>
      </c>
      <c r="G330" s="2" t="n">
        <v>47</v>
      </c>
      <c r="H330" s="2" t="n">
        <v>71</v>
      </c>
      <c r="I330" s="2" t="n">
        <v>18</v>
      </c>
      <c r="J330" s="2" t="n">
        <f aca="false">F330+G330+H330</f>
        <v>319</v>
      </c>
      <c r="K330" s="3" t="n">
        <f aca="false">J330/D330</f>
        <v>0.0340157816165494</v>
      </c>
    </row>
    <row r="331" customFormat="false" ht="15" hidden="false" customHeight="false" outlineLevel="0" collapsed="false">
      <c r="A331" s="2" t="s">
        <v>254</v>
      </c>
      <c r="B331" s="2" t="s">
        <v>15</v>
      </c>
      <c r="C331" s="2" t="s">
        <v>18</v>
      </c>
      <c r="D331" s="2" t="n">
        <v>5579</v>
      </c>
      <c r="E331" s="2" t="n">
        <v>6561</v>
      </c>
      <c r="F331" s="2" t="n">
        <v>196</v>
      </c>
      <c r="G331" s="2" t="n">
        <v>15</v>
      </c>
      <c r="H331" s="2" t="n">
        <v>70</v>
      </c>
      <c r="I331" s="2" t="n">
        <v>20</v>
      </c>
      <c r="J331" s="2" t="n">
        <f aca="false">F331+G331+H331</f>
        <v>281</v>
      </c>
      <c r="K331" s="3" t="n">
        <f aca="false">J331/D331</f>
        <v>0.0503674493636853</v>
      </c>
    </row>
    <row r="332" customFormat="false" ht="15" hidden="false" customHeight="false" outlineLevel="0" collapsed="false">
      <c r="A332" s="2" t="s">
        <v>254</v>
      </c>
      <c r="B332" s="2" t="s">
        <v>15</v>
      </c>
      <c r="C332" s="2" t="s">
        <v>16</v>
      </c>
      <c r="D332" s="2" t="n">
        <v>4979</v>
      </c>
      <c r="E332" s="2" t="n">
        <v>7342</v>
      </c>
      <c r="F332" s="2" t="n">
        <v>223</v>
      </c>
      <c r="G332" s="2" t="n">
        <v>26</v>
      </c>
      <c r="H332" s="2" t="n">
        <v>108</v>
      </c>
      <c r="I332" s="2" t="n">
        <v>23</v>
      </c>
      <c r="J332" s="2" t="n">
        <f aca="false">F332+G332+H332</f>
        <v>357</v>
      </c>
      <c r="K332" s="3" t="n">
        <f aca="false">J332/D332</f>
        <v>0.0717011448081944</v>
      </c>
    </row>
    <row r="333" customFormat="false" ht="15" hidden="false" customHeight="false" outlineLevel="0" collapsed="false">
      <c r="A333" s="2" t="s">
        <v>255</v>
      </c>
      <c r="B333" s="2" t="s">
        <v>12</v>
      </c>
      <c r="C333" s="2" t="s">
        <v>18</v>
      </c>
      <c r="D333" s="2" t="n">
        <v>1892</v>
      </c>
      <c r="E333" s="2" t="n">
        <v>2615</v>
      </c>
      <c r="F333" s="2" t="n">
        <v>63</v>
      </c>
      <c r="G333" s="2" t="n">
        <v>6</v>
      </c>
      <c r="H333" s="2" t="n">
        <v>31</v>
      </c>
      <c r="I333" s="2" t="n">
        <v>2</v>
      </c>
      <c r="J333" s="2" t="n">
        <f aca="false">F333+G333+H333</f>
        <v>100</v>
      </c>
      <c r="K333" s="3" t="n">
        <f aca="false">J333/D333</f>
        <v>0.0528541226215645</v>
      </c>
    </row>
    <row r="334" customFormat="false" ht="15" hidden="false" customHeight="false" outlineLevel="0" collapsed="false">
      <c r="A334" s="2" t="s">
        <v>256</v>
      </c>
      <c r="B334" s="2" t="s">
        <v>12</v>
      </c>
      <c r="C334" s="2" t="s">
        <v>23</v>
      </c>
      <c r="D334" s="2" t="n">
        <v>1740</v>
      </c>
      <c r="E334" s="2" t="n">
        <v>2045</v>
      </c>
      <c r="F334" s="2" t="n">
        <v>73</v>
      </c>
      <c r="G334" s="2" t="n">
        <v>16</v>
      </c>
      <c r="H334" s="2" t="n">
        <v>31</v>
      </c>
      <c r="I334" s="2" t="n">
        <v>5</v>
      </c>
      <c r="J334" s="2" t="n">
        <f aca="false">F334+G334+H334</f>
        <v>120</v>
      </c>
      <c r="K334" s="3" t="n">
        <f aca="false">J334/D334</f>
        <v>0.0689655172413793</v>
      </c>
    </row>
    <row r="335" customFormat="false" ht="15" hidden="false" customHeight="false" outlineLevel="0" collapsed="false">
      <c r="A335" s="2" t="s">
        <v>256</v>
      </c>
      <c r="B335" s="2" t="s">
        <v>15</v>
      </c>
      <c r="C335" s="2" t="s">
        <v>16</v>
      </c>
      <c r="D335" s="2" t="n">
        <v>4304</v>
      </c>
      <c r="E335" s="2" t="n">
        <v>6494</v>
      </c>
      <c r="F335" s="2" t="n">
        <v>212</v>
      </c>
      <c r="G335" s="2" t="n">
        <v>24</v>
      </c>
      <c r="H335" s="2" t="n">
        <v>63</v>
      </c>
      <c r="I335" s="2" t="n">
        <v>11</v>
      </c>
      <c r="J335" s="2" t="n">
        <f aca="false">F335+G335+H335</f>
        <v>299</v>
      </c>
      <c r="K335" s="3" t="n">
        <f aca="false">J335/D335</f>
        <v>0.0694702602230483</v>
      </c>
    </row>
    <row r="336" customFormat="false" ht="15" hidden="false" customHeight="false" outlineLevel="0" collapsed="false">
      <c r="A336" s="2" t="s">
        <v>257</v>
      </c>
      <c r="B336" s="2" t="s">
        <v>26</v>
      </c>
      <c r="C336" s="2" t="s">
        <v>18</v>
      </c>
      <c r="D336" s="2" t="n">
        <v>7028</v>
      </c>
      <c r="E336" s="2" t="n">
        <v>9284</v>
      </c>
      <c r="F336" s="2" t="n">
        <v>289</v>
      </c>
      <c r="G336" s="2" t="n">
        <v>48</v>
      </c>
      <c r="H336" s="2" t="n">
        <v>119</v>
      </c>
      <c r="I336" s="2" t="n">
        <v>12</v>
      </c>
      <c r="J336" s="2" t="n">
        <f aca="false">F336+G336+H336</f>
        <v>456</v>
      </c>
      <c r="K336" s="3" t="n">
        <f aca="false">J336/D336</f>
        <v>0.0648833238474673</v>
      </c>
    </row>
    <row r="337" customFormat="false" ht="15" hidden="false" customHeight="false" outlineLevel="0" collapsed="false">
      <c r="A337" s="2" t="s">
        <v>258</v>
      </c>
      <c r="B337" s="2" t="s">
        <v>22</v>
      </c>
      <c r="C337" s="2" t="s">
        <v>23</v>
      </c>
      <c r="D337" s="2" t="n">
        <v>3463</v>
      </c>
      <c r="E337" s="2" t="n">
        <v>4161</v>
      </c>
      <c r="F337" s="2" t="n">
        <v>167</v>
      </c>
      <c r="G337" s="2" t="n">
        <v>38</v>
      </c>
      <c r="H337" s="2" t="n">
        <v>65</v>
      </c>
      <c r="I337" s="2" t="n">
        <v>22</v>
      </c>
      <c r="J337" s="2" t="n">
        <f aca="false">F337+G337+H337</f>
        <v>270</v>
      </c>
      <c r="K337" s="3" t="n">
        <f aca="false">J337/D337</f>
        <v>0.0779670805659833</v>
      </c>
    </row>
    <row r="338" customFormat="false" ht="15" hidden="false" customHeight="false" outlineLevel="0" collapsed="false">
      <c r="A338" s="2" t="s">
        <v>258</v>
      </c>
      <c r="B338" s="2" t="s">
        <v>26</v>
      </c>
      <c r="C338" s="2" t="s">
        <v>16</v>
      </c>
      <c r="D338" s="2" t="n">
        <v>10313</v>
      </c>
      <c r="E338" s="2" t="n">
        <v>11942</v>
      </c>
      <c r="F338" s="2" t="n">
        <v>565</v>
      </c>
      <c r="G338" s="2" t="n">
        <v>109</v>
      </c>
      <c r="H338" s="2" t="n">
        <v>96</v>
      </c>
      <c r="I338" s="2" t="n">
        <v>25</v>
      </c>
      <c r="J338" s="2" t="n">
        <f aca="false">F338+G338+H338</f>
        <v>770</v>
      </c>
      <c r="K338" s="3" t="n">
        <f aca="false">J338/D338</f>
        <v>0.0746630466401629</v>
      </c>
    </row>
    <row r="339" customFormat="false" ht="15" hidden="false" customHeight="false" outlineLevel="0" collapsed="false">
      <c r="A339" s="2" t="s">
        <v>259</v>
      </c>
      <c r="B339" s="2" t="s">
        <v>19</v>
      </c>
      <c r="C339" s="2" t="s">
        <v>13</v>
      </c>
      <c r="D339" s="2" t="n">
        <v>2675</v>
      </c>
      <c r="E339" s="2" t="n">
        <v>3319</v>
      </c>
      <c r="F339" s="2" t="n">
        <v>102</v>
      </c>
      <c r="G339" s="2" t="n">
        <v>18</v>
      </c>
      <c r="H339" s="2" t="n">
        <v>22</v>
      </c>
      <c r="I339" s="2" t="n">
        <v>11</v>
      </c>
      <c r="J339" s="2" t="n">
        <f aca="false">F339+G339+H339</f>
        <v>142</v>
      </c>
      <c r="K339" s="3" t="n">
        <f aca="false">J339/D339</f>
        <v>0.0530841121495327</v>
      </c>
    </row>
    <row r="340" customFormat="false" ht="15" hidden="false" customHeight="false" outlineLevel="0" collapsed="false">
      <c r="A340" s="2" t="s">
        <v>260</v>
      </c>
      <c r="B340" s="2" t="s">
        <v>15</v>
      </c>
      <c r="C340" s="2" t="s">
        <v>13</v>
      </c>
      <c r="D340" s="2" t="n">
        <v>2805</v>
      </c>
      <c r="E340" s="2" t="n">
        <v>4054</v>
      </c>
      <c r="F340" s="2" t="n">
        <v>43</v>
      </c>
      <c r="G340" s="2" t="n">
        <v>6</v>
      </c>
      <c r="H340" s="2" t="n">
        <v>17</v>
      </c>
      <c r="I340" s="2" t="n">
        <v>2</v>
      </c>
      <c r="J340" s="2" t="n">
        <f aca="false">F340+G340+H340</f>
        <v>66</v>
      </c>
      <c r="K340" s="3" t="n">
        <f aca="false">J340/D340</f>
        <v>0.0235294117647059</v>
      </c>
    </row>
    <row r="341" customFormat="false" ht="15" hidden="false" customHeight="false" outlineLevel="0" collapsed="false">
      <c r="A341" s="2" t="s">
        <v>261</v>
      </c>
      <c r="B341" s="2" t="s">
        <v>15</v>
      </c>
      <c r="C341" s="2" t="s">
        <v>13</v>
      </c>
      <c r="D341" s="2" t="n">
        <v>8986</v>
      </c>
      <c r="E341" s="2" t="n">
        <v>13260</v>
      </c>
      <c r="F341" s="2" t="n">
        <v>332</v>
      </c>
      <c r="G341" s="2" t="n">
        <v>29</v>
      </c>
      <c r="H341" s="2" t="n">
        <v>105</v>
      </c>
      <c r="I341" s="2" t="n">
        <v>14</v>
      </c>
      <c r="J341" s="2" t="n">
        <f aca="false">F341+G341+H341</f>
        <v>466</v>
      </c>
      <c r="K341" s="3" t="n">
        <f aca="false">J341/D341</f>
        <v>0.0518584464722902</v>
      </c>
    </row>
    <row r="342" customFormat="false" ht="15" hidden="false" customHeight="false" outlineLevel="0" collapsed="false">
      <c r="A342" s="2" t="s">
        <v>261</v>
      </c>
      <c r="B342" s="2" t="s">
        <v>22</v>
      </c>
      <c r="C342" s="2" t="s">
        <v>13</v>
      </c>
      <c r="D342" s="2" t="n">
        <v>4621</v>
      </c>
      <c r="E342" s="2" t="n">
        <v>5516</v>
      </c>
      <c r="F342" s="2" t="n">
        <v>187</v>
      </c>
      <c r="G342" s="2" t="n">
        <v>33</v>
      </c>
      <c r="H342" s="2" t="n">
        <v>82</v>
      </c>
      <c r="I342" s="2" t="n">
        <v>12</v>
      </c>
      <c r="J342" s="2" t="n">
        <f aca="false">F342+G342+H342</f>
        <v>302</v>
      </c>
      <c r="K342" s="3" t="n">
        <f aca="false">J342/D342</f>
        <v>0.0653538195195845</v>
      </c>
    </row>
    <row r="343" customFormat="false" ht="15" hidden="false" customHeight="false" outlineLevel="0" collapsed="false">
      <c r="A343" s="2" t="s">
        <v>262</v>
      </c>
      <c r="B343" s="2" t="s">
        <v>15</v>
      </c>
      <c r="C343" s="2" t="s">
        <v>18</v>
      </c>
      <c r="D343" s="2" t="n">
        <v>5760</v>
      </c>
      <c r="E343" s="2" t="n">
        <v>8342</v>
      </c>
      <c r="F343" s="2" t="n">
        <v>91</v>
      </c>
      <c r="G343" s="2" t="n">
        <v>17</v>
      </c>
      <c r="H343" s="2" t="n">
        <v>44</v>
      </c>
      <c r="I343" s="2" t="n">
        <v>11</v>
      </c>
      <c r="J343" s="2" t="n">
        <f aca="false">F343+G343+H343</f>
        <v>152</v>
      </c>
      <c r="K343" s="3" t="n">
        <f aca="false">J343/D343</f>
        <v>0.0263888888888889</v>
      </c>
    </row>
    <row r="344" customFormat="false" ht="15" hidden="false" customHeight="false" outlineLevel="0" collapsed="false">
      <c r="A344" s="2" t="s">
        <v>262</v>
      </c>
      <c r="B344" s="2" t="s">
        <v>15</v>
      </c>
      <c r="C344" s="2" t="s">
        <v>20</v>
      </c>
      <c r="D344" s="2" t="n">
        <v>8454</v>
      </c>
      <c r="E344" s="2" t="n">
        <v>10167</v>
      </c>
      <c r="F344" s="2" t="n">
        <v>315</v>
      </c>
      <c r="G344" s="2" t="n">
        <v>29</v>
      </c>
      <c r="H344" s="2" t="n">
        <v>119</v>
      </c>
      <c r="I344" s="2" t="n">
        <v>22</v>
      </c>
      <c r="J344" s="2" t="n">
        <f aca="false">F344+G344+H344</f>
        <v>463</v>
      </c>
      <c r="K344" s="3" t="n">
        <f aca="false">J344/D344</f>
        <v>0.0547669742133901</v>
      </c>
    </row>
    <row r="345" customFormat="false" ht="15" hidden="false" customHeight="false" outlineLevel="0" collapsed="false">
      <c r="A345" s="2" t="s">
        <v>263</v>
      </c>
      <c r="B345" s="2" t="s">
        <v>19</v>
      </c>
      <c r="C345" s="2" t="s">
        <v>20</v>
      </c>
      <c r="D345" s="2" t="n">
        <v>3177</v>
      </c>
      <c r="E345" s="2" t="n">
        <v>5011</v>
      </c>
      <c r="F345" s="2" t="n">
        <v>87</v>
      </c>
      <c r="G345" s="2" t="n">
        <v>19</v>
      </c>
      <c r="H345" s="2" t="n">
        <v>21</v>
      </c>
      <c r="I345" s="2" t="n">
        <v>9</v>
      </c>
      <c r="J345" s="2" t="n">
        <f aca="false">F345+G345+H345</f>
        <v>127</v>
      </c>
      <c r="K345" s="3" t="n">
        <f aca="false">J345/D345</f>
        <v>0.0399748190116462</v>
      </c>
    </row>
    <row r="346" customFormat="false" ht="15" hidden="false" customHeight="false" outlineLevel="0" collapsed="false">
      <c r="A346" s="2" t="s">
        <v>264</v>
      </c>
      <c r="B346" s="2" t="s">
        <v>15</v>
      </c>
      <c r="C346" s="2" t="s">
        <v>13</v>
      </c>
      <c r="D346" s="2" t="n">
        <v>7302</v>
      </c>
      <c r="E346" s="2" t="n">
        <v>10997</v>
      </c>
      <c r="F346" s="2" t="n">
        <v>308</v>
      </c>
      <c r="G346" s="2" t="n">
        <v>32</v>
      </c>
      <c r="H346" s="2" t="n">
        <v>98</v>
      </c>
      <c r="I346" s="2" t="n">
        <v>28</v>
      </c>
      <c r="J346" s="2" t="n">
        <f aca="false">F346+G346+H346</f>
        <v>438</v>
      </c>
      <c r="K346" s="3" t="n">
        <f aca="false">J346/D346</f>
        <v>0.0599835661462613</v>
      </c>
    </row>
    <row r="347" customFormat="false" ht="15" hidden="false" customHeight="false" outlineLevel="0" collapsed="false">
      <c r="A347" s="2" t="s">
        <v>265</v>
      </c>
      <c r="B347" s="2" t="s">
        <v>15</v>
      </c>
      <c r="C347" s="2" t="s">
        <v>23</v>
      </c>
      <c r="D347" s="2" t="n">
        <v>4544</v>
      </c>
      <c r="E347" s="2" t="n">
        <v>6502</v>
      </c>
      <c r="F347" s="2" t="n">
        <v>86</v>
      </c>
      <c r="G347" s="2" t="n">
        <v>8</v>
      </c>
      <c r="H347" s="2" t="n">
        <v>32</v>
      </c>
      <c r="I347" s="2" t="n">
        <v>8</v>
      </c>
      <c r="J347" s="2" t="n">
        <f aca="false">F347+G347+H347</f>
        <v>126</v>
      </c>
      <c r="K347" s="3" t="n">
        <f aca="false">J347/D347</f>
        <v>0.0277288732394366</v>
      </c>
    </row>
    <row r="348" customFormat="false" ht="15" hidden="false" customHeight="false" outlineLevel="0" collapsed="false">
      <c r="A348" s="2" t="s">
        <v>266</v>
      </c>
      <c r="B348" s="2" t="s">
        <v>12</v>
      </c>
      <c r="C348" s="2" t="s">
        <v>16</v>
      </c>
      <c r="D348" s="2" t="n">
        <v>1832</v>
      </c>
      <c r="E348" s="2" t="n">
        <v>2309</v>
      </c>
      <c r="F348" s="2" t="n">
        <v>84</v>
      </c>
      <c r="G348" s="2" t="n">
        <v>6</v>
      </c>
      <c r="H348" s="2" t="n">
        <v>23</v>
      </c>
      <c r="I348" s="2" t="n">
        <v>6</v>
      </c>
      <c r="J348" s="2" t="n">
        <f aca="false">F348+G348+H348</f>
        <v>113</v>
      </c>
      <c r="K348" s="3" t="n">
        <f aca="false">J348/D348</f>
        <v>0.0616812227074236</v>
      </c>
    </row>
    <row r="349" customFormat="false" ht="15" hidden="false" customHeight="false" outlineLevel="0" collapsed="false">
      <c r="A349" s="2" t="s">
        <v>267</v>
      </c>
      <c r="B349" s="2" t="s">
        <v>22</v>
      </c>
      <c r="C349" s="2" t="s">
        <v>18</v>
      </c>
      <c r="D349" s="2" t="n">
        <v>2923</v>
      </c>
      <c r="E349" s="2" t="n">
        <v>3376</v>
      </c>
      <c r="F349" s="2" t="n">
        <v>166</v>
      </c>
      <c r="G349" s="2" t="n">
        <v>23</v>
      </c>
      <c r="H349" s="2" t="n">
        <v>62</v>
      </c>
      <c r="I349" s="2" t="n">
        <v>6</v>
      </c>
      <c r="J349" s="2" t="n">
        <f aca="false">F349+G349+H349</f>
        <v>251</v>
      </c>
      <c r="K349" s="3" t="n">
        <f aca="false">J349/D349</f>
        <v>0.0858706808073897</v>
      </c>
    </row>
    <row r="350" customFormat="false" ht="15" hidden="false" customHeight="false" outlineLevel="0" collapsed="false">
      <c r="A350" s="2" t="s">
        <v>267</v>
      </c>
      <c r="B350" s="2" t="s">
        <v>15</v>
      </c>
      <c r="C350" s="2" t="s">
        <v>16</v>
      </c>
      <c r="D350" s="2" t="n">
        <v>4910</v>
      </c>
      <c r="E350" s="2" t="n">
        <v>6407</v>
      </c>
      <c r="F350" s="2" t="n">
        <v>92</v>
      </c>
      <c r="G350" s="2" t="n">
        <v>11</v>
      </c>
      <c r="H350" s="2" t="n">
        <v>43</v>
      </c>
      <c r="I350" s="2" t="n">
        <v>6</v>
      </c>
      <c r="J350" s="2" t="n">
        <f aca="false">F350+G350+H350</f>
        <v>146</v>
      </c>
      <c r="K350" s="3" t="n">
        <f aca="false">J350/D350</f>
        <v>0.0297352342158859</v>
      </c>
    </row>
    <row r="351" customFormat="false" ht="15" hidden="false" customHeight="false" outlineLevel="0" collapsed="false">
      <c r="A351" s="2" t="s">
        <v>268</v>
      </c>
      <c r="B351" s="2" t="s">
        <v>12</v>
      </c>
      <c r="C351" s="2" t="s">
        <v>13</v>
      </c>
      <c r="D351" s="2" t="n">
        <v>1573</v>
      </c>
      <c r="E351" s="2" t="n">
        <v>2341</v>
      </c>
      <c r="F351" s="2" t="n">
        <v>64</v>
      </c>
      <c r="G351" s="2" t="n">
        <v>11</v>
      </c>
      <c r="H351" s="2" t="n">
        <v>27</v>
      </c>
      <c r="I351" s="2" t="n">
        <v>7</v>
      </c>
      <c r="J351" s="2" t="n">
        <f aca="false">F351+G351+H351</f>
        <v>102</v>
      </c>
      <c r="K351" s="3" t="n">
        <f aca="false">J351/D351</f>
        <v>0.0648442466624285</v>
      </c>
    </row>
    <row r="352" customFormat="false" ht="15" hidden="false" customHeight="false" outlineLevel="0" collapsed="false">
      <c r="A352" s="2" t="s">
        <v>269</v>
      </c>
      <c r="B352" s="2" t="s">
        <v>22</v>
      </c>
      <c r="C352" s="2" t="s">
        <v>18</v>
      </c>
      <c r="D352" s="2" t="n">
        <v>3774</v>
      </c>
      <c r="E352" s="2" t="n">
        <v>5651</v>
      </c>
      <c r="F352" s="2" t="n">
        <v>132</v>
      </c>
      <c r="G352" s="2" t="n">
        <v>25</v>
      </c>
      <c r="H352" s="2" t="n">
        <v>50</v>
      </c>
      <c r="I352" s="2" t="n">
        <v>8</v>
      </c>
      <c r="J352" s="2" t="n">
        <f aca="false">F352+G352+H352</f>
        <v>207</v>
      </c>
      <c r="K352" s="3" t="n">
        <f aca="false">J352/D352</f>
        <v>0.0548489666136725</v>
      </c>
    </row>
    <row r="353" customFormat="false" ht="15" hidden="false" customHeight="false" outlineLevel="0" collapsed="false">
      <c r="A353" s="2" t="s">
        <v>269</v>
      </c>
      <c r="B353" s="2" t="s">
        <v>15</v>
      </c>
      <c r="C353" s="2" t="s">
        <v>23</v>
      </c>
      <c r="D353" s="2" t="n">
        <v>3306</v>
      </c>
      <c r="E353" s="2" t="n">
        <v>5040</v>
      </c>
      <c r="F353" s="2" t="n">
        <v>174</v>
      </c>
      <c r="G353" s="2" t="n">
        <v>24</v>
      </c>
      <c r="H353" s="2" t="n">
        <v>54</v>
      </c>
      <c r="I353" s="2" t="n">
        <v>18</v>
      </c>
      <c r="J353" s="2" t="n">
        <f aca="false">F353+G353+H353</f>
        <v>252</v>
      </c>
      <c r="K353" s="3" t="n">
        <f aca="false">J353/D353</f>
        <v>0.0762250453720508</v>
      </c>
    </row>
    <row r="354" customFormat="false" ht="15" hidden="false" customHeight="false" outlineLevel="0" collapsed="false">
      <c r="A354" s="2" t="s">
        <v>270</v>
      </c>
      <c r="B354" s="2" t="s">
        <v>19</v>
      </c>
      <c r="C354" s="2" t="s">
        <v>13</v>
      </c>
      <c r="D354" s="2" t="n">
        <v>3587</v>
      </c>
      <c r="E354" s="2" t="n">
        <v>5420</v>
      </c>
      <c r="F354" s="2" t="n">
        <v>189</v>
      </c>
      <c r="G354" s="2" t="n">
        <v>19</v>
      </c>
      <c r="H354" s="2" t="n">
        <v>52</v>
      </c>
      <c r="I354" s="2" t="n">
        <v>14</v>
      </c>
      <c r="J354" s="2" t="n">
        <f aca="false">F354+G354+H354</f>
        <v>260</v>
      </c>
      <c r="K354" s="3" t="n">
        <f aca="false">J354/D354</f>
        <v>0.0724839698912741</v>
      </c>
    </row>
    <row r="355" customFormat="false" ht="15" hidden="false" customHeight="false" outlineLevel="0" collapsed="false">
      <c r="A355" s="2" t="s">
        <v>270</v>
      </c>
      <c r="B355" s="2" t="s">
        <v>19</v>
      </c>
      <c r="C355" s="2" t="s">
        <v>23</v>
      </c>
      <c r="D355" s="2" t="n">
        <v>2889</v>
      </c>
      <c r="E355" s="2" t="n">
        <v>4070</v>
      </c>
      <c r="F355" s="2" t="n">
        <v>181</v>
      </c>
      <c r="G355" s="2" t="n">
        <v>14</v>
      </c>
      <c r="H355" s="2" t="n">
        <v>52</v>
      </c>
      <c r="I355" s="2" t="n">
        <v>15</v>
      </c>
      <c r="J355" s="2" t="n">
        <f aca="false">F355+G355+H355</f>
        <v>247</v>
      </c>
      <c r="K355" s="3" t="n">
        <f aca="false">J355/D355</f>
        <v>0.085496711664936</v>
      </c>
    </row>
    <row r="356" customFormat="false" ht="15" hidden="false" customHeight="false" outlineLevel="0" collapsed="false">
      <c r="A356" s="2" t="s">
        <v>270</v>
      </c>
      <c r="B356" s="2" t="s">
        <v>22</v>
      </c>
      <c r="C356" s="2" t="s">
        <v>20</v>
      </c>
      <c r="D356" s="2" t="n">
        <v>3873</v>
      </c>
      <c r="E356" s="2" t="n">
        <v>4606</v>
      </c>
      <c r="F356" s="2" t="n">
        <v>184</v>
      </c>
      <c r="G356" s="2" t="n">
        <v>21</v>
      </c>
      <c r="H356" s="2" t="n">
        <v>49</v>
      </c>
      <c r="I356" s="2" t="n">
        <v>14</v>
      </c>
      <c r="J356" s="2" t="n">
        <f aca="false">F356+G356+H356</f>
        <v>254</v>
      </c>
      <c r="K356" s="3" t="n">
        <f aca="false">J356/D356</f>
        <v>0.0655822359927705</v>
      </c>
    </row>
    <row r="357" customFormat="false" ht="15" hidden="false" customHeight="false" outlineLevel="0" collapsed="false">
      <c r="A357" s="2" t="s">
        <v>271</v>
      </c>
      <c r="B357" s="2" t="s">
        <v>15</v>
      </c>
      <c r="C357" s="2" t="s">
        <v>13</v>
      </c>
      <c r="D357" s="2" t="n">
        <v>3668</v>
      </c>
      <c r="E357" s="2" t="n">
        <v>5668</v>
      </c>
      <c r="F357" s="2" t="n">
        <v>129</v>
      </c>
      <c r="G357" s="2" t="n">
        <v>16</v>
      </c>
      <c r="H357" s="2" t="n">
        <v>50</v>
      </c>
      <c r="I357" s="2" t="n">
        <v>6</v>
      </c>
      <c r="J357" s="2" t="n">
        <f aca="false">F357+G357+H357</f>
        <v>195</v>
      </c>
      <c r="K357" s="3" t="n">
        <f aca="false">J357/D357</f>
        <v>0.0531624863685932</v>
      </c>
    </row>
    <row r="358" customFormat="false" ht="15" hidden="false" customHeight="false" outlineLevel="0" collapsed="false">
      <c r="A358" s="2" t="s">
        <v>272</v>
      </c>
      <c r="B358" s="2" t="s">
        <v>22</v>
      </c>
      <c r="C358" s="2" t="s">
        <v>23</v>
      </c>
      <c r="D358" s="2" t="n">
        <v>2619</v>
      </c>
      <c r="E358" s="2" t="n">
        <v>3116</v>
      </c>
      <c r="F358" s="2" t="n">
        <v>72</v>
      </c>
      <c r="G358" s="2" t="n">
        <v>10</v>
      </c>
      <c r="H358" s="2" t="n">
        <v>20</v>
      </c>
      <c r="I358" s="2" t="n">
        <v>6</v>
      </c>
      <c r="J358" s="2" t="n">
        <f aca="false">F358+G358+H358</f>
        <v>102</v>
      </c>
      <c r="K358" s="3" t="n">
        <f aca="false">J358/D358</f>
        <v>0.0389461626575029</v>
      </c>
    </row>
    <row r="359" customFormat="false" ht="15" hidden="false" customHeight="false" outlineLevel="0" collapsed="false">
      <c r="A359" s="2" t="s">
        <v>273</v>
      </c>
      <c r="B359" s="2" t="s">
        <v>15</v>
      </c>
      <c r="C359" s="2" t="s">
        <v>18</v>
      </c>
      <c r="D359" s="2" t="n">
        <v>4310</v>
      </c>
      <c r="E359" s="2" t="n">
        <v>5712</v>
      </c>
      <c r="F359" s="2" t="n">
        <v>116</v>
      </c>
      <c r="G359" s="2" t="n">
        <v>12</v>
      </c>
      <c r="H359" s="2" t="n">
        <v>59</v>
      </c>
      <c r="I359" s="2" t="n">
        <v>8</v>
      </c>
      <c r="J359" s="2" t="n">
        <f aca="false">F359+G359+H359</f>
        <v>187</v>
      </c>
      <c r="K359" s="3" t="n">
        <f aca="false">J359/D359</f>
        <v>0.0433874709976798</v>
      </c>
    </row>
    <row r="360" customFormat="false" ht="15" hidden="false" customHeight="false" outlineLevel="0" collapsed="false">
      <c r="A360" s="2" t="s">
        <v>273</v>
      </c>
      <c r="B360" s="2" t="s">
        <v>26</v>
      </c>
      <c r="C360" s="2" t="s">
        <v>23</v>
      </c>
      <c r="D360" s="2" t="n">
        <v>6833</v>
      </c>
      <c r="E360" s="2" t="n">
        <v>10552</v>
      </c>
      <c r="F360" s="2" t="n">
        <v>356</v>
      </c>
      <c r="G360" s="2" t="n">
        <v>70</v>
      </c>
      <c r="H360" s="2" t="n">
        <v>89</v>
      </c>
      <c r="I360" s="2" t="n">
        <v>40</v>
      </c>
      <c r="J360" s="2" t="n">
        <f aca="false">F360+G360+H360</f>
        <v>515</v>
      </c>
      <c r="K360" s="3" t="n">
        <f aca="false">J360/D360</f>
        <v>0.0753695302209864</v>
      </c>
    </row>
    <row r="361" customFormat="false" ht="15" hidden="false" customHeight="false" outlineLevel="0" collapsed="false">
      <c r="A361" s="2" t="s">
        <v>274</v>
      </c>
      <c r="B361" s="2" t="s">
        <v>26</v>
      </c>
      <c r="C361" s="2" t="s">
        <v>13</v>
      </c>
      <c r="D361" s="2" t="n">
        <v>9876</v>
      </c>
      <c r="E361" s="2" t="n">
        <v>15557</v>
      </c>
      <c r="F361" s="2" t="n">
        <v>369</v>
      </c>
      <c r="G361" s="2" t="n">
        <v>38</v>
      </c>
      <c r="H361" s="2" t="n">
        <v>105</v>
      </c>
      <c r="I361" s="2" t="n">
        <v>21</v>
      </c>
      <c r="J361" s="2" t="n">
        <f aca="false">F361+G361+H361</f>
        <v>512</v>
      </c>
      <c r="K361" s="3" t="n">
        <f aca="false">J361/D361</f>
        <v>0.0518428513568246</v>
      </c>
    </row>
    <row r="362" customFormat="false" ht="15" hidden="false" customHeight="false" outlineLevel="0" collapsed="false">
      <c r="A362" s="2" t="s">
        <v>275</v>
      </c>
      <c r="B362" s="2" t="s">
        <v>26</v>
      </c>
      <c r="C362" s="2" t="s">
        <v>16</v>
      </c>
      <c r="D362" s="2" t="n">
        <v>6952</v>
      </c>
      <c r="E362" s="2" t="n">
        <v>10352</v>
      </c>
      <c r="F362" s="2" t="n">
        <v>174</v>
      </c>
      <c r="G362" s="2" t="n">
        <v>27</v>
      </c>
      <c r="H362" s="2" t="n">
        <v>61</v>
      </c>
      <c r="I362" s="2" t="n">
        <v>10</v>
      </c>
      <c r="J362" s="2" t="n">
        <f aca="false">F362+G362+H362</f>
        <v>262</v>
      </c>
      <c r="K362" s="3" t="n">
        <f aca="false">J362/D362</f>
        <v>0.037686996547756</v>
      </c>
    </row>
    <row r="363" customFormat="false" ht="15" hidden="false" customHeight="false" outlineLevel="0" collapsed="false">
      <c r="A363" s="2" t="s">
        <v>276</v>
      </c>
      <c r="B363" s="2" t="s">
        <v>15</v>
      </c>
      <c r="C363" s="2" t="s">
        <v>23</v>
      </c>
      <c r="D363" s="2" t="n">
        <v>4500</v>
      </c>
      <c r="E363" s="2" t="n">
        <v>7074</v>
      </c>
      <c r="F363" s="2" t="n">
        <v>210</v>
      </c>
      <c r="G363" s="2" t="n">
        <v>40</v>
      </c>
      <c r="H363" s="2" t="n">
        <v>95</v>
      </c>
      <c r="I363" s="2" t="n">
        <v>17</v>
      </c>
      <c r="J363" s="2" t="n">
        <f aca="false">F363+G363+H363</f>
        <v>345</v>
      </c>
      <c r="K363" s="3" t="n">
        <f aca="false">J363/D363</f>
        <v>0.0766666666666667</v>
      </c>
    </row>
    <row r="364" customFormat="false" ht="15" hidden="false" customHeight="false" outlineLevel="0" collapsed="false">
      <c r="A364" s="2" t="s">
        <v>277</v>
      </c>
      <c r="B364" s="2" t="s">
        <v>26</v>
      </c>
      <c r="C364" s="2" t="s">
        <v>13</v>
      </c>
      <c r="D364" s="2" t="n">
        <v>4939</v>
      </c>
      <c r="E364" s="2" t="n">
        <v>7349</v>
      </c>
      <c r="F364" s="2" t="n">
        <v>289</v>
      </c>
      <c r="G364" s="2" t="n">
        <v>51</v>
      </c>
      <c r="H364" s="2" t="n">
        <v>67</v>
      </c>
      <c r="I364" s="2" t="n">
        <v>9</v>
      </c>
      <c r="J364" s="2" t="n">
        <f aca="false">F364+G364+H364</f>
        <v>407</v>
      </c>
      <c r="K364" s="3" t="n">
        <f aca="false">J364/D364</f>
        <v>0.0824053452115813</v>
      </c>
    </row>
    <row r="365" customFormat="false" ht="15" hidden="false" customHeight="false" outlineLevel="0" collapsed="false">
      <c r="A365" s="2" t="s">
        <v>277</v>
      </c>
      <c r="B365" s="2" t="s">
        <v>22</v>
      </c>
      <c r="C365" s="2" t="s">
        <v>18</v>
      </c>
      <c r="D365" s="2" t="n">
        <v>2880</v>
      </c>
      <c r="E365" s="2" t="n">
        <v>3321</v>
      </c>
      <c r="F365" s="2" t="n">
        <v>158</v>
      </c>
      <c r="G365" s="2" t="n">
        <v>17</v>
      </c>
      <c r="H365" s="2" t="n">
        <v>71</v>
      </c>
      <c r="I365" s="2" t="n">
        <v>18</v>
      </c>
      <c r="J365" s="2" t="n">
        <f aca="false">F365+G365+H365</f>
        <v>246</v>
      </c>
      <c r="K365" s="3" t="n">
        <f aca="false">J365/D365</f>
        <v>0.0854166666666667</v>
      </c>
    </row>
    <row r="366" customFormat="false" ht="15" hidden="false" customHeight="false" outlineLevel="0" collapsed="false">
      <c r="A366" s="2" t="s">
        <v>278</v>
      </c>
      <c r="B366" s="2" t="s">
        <v>15</v>
      </c>
      <c r="C366" s="2" t="s">
        <v>16</v>
      </c>
      <c r="D366" s="2" t="n">
        <v>4413</v>
      </c>
      <c r="E366" s="2" t="n">
        <v>6589</v>
      </c>
      <c r="F366" s="2" t="n">
        <v>121</v>
      </c>
      <c r="G366" s="2" t="n">
        <v>16</v>
      </c>
      <c r="H366" s="2" t="n">
        <v>41</v>
      </c>
      <c r="I366" s="2" t="n">
        <v>14</v>
      </c>
      <c r="J366" s="2" t="n">
        <f aca="false">F366+G366+H366</f>
        <v>178</v>
      </c>
      <c r="K366" s="3" t="n">
        <f aca="false">J366/D366</f>
        <v>0.0403353727622932</v>
      </c>
    </row>
    <row r="367" customFormat="false" ht="15" hidden="false" customHeight="false" outlineLevel="0" collapsed="false">
      <c r="A367" s="2" t="s">
        <v>278</v>
      </c>
      <c r="B367" s="2" t="s">
        <v>12</v>
      </c>
      <c r="C367" s="2" t="s">
        <v>23</v>
      </c>
      <c r="D367" s="2" t="n">
        <v>1496</v>
      </c>
      <c r="E367" s="2" t="n">
        <v>2052</v>
      </c>
      <c r="F367" s="2" t="n">
        <v>86</v>
      </c>
      <c r="G367" s="2" t="n">
        <v>19</v>
      </c>
      <c r="H367" s="2" t="n">
        <v>27</v>
      </c>
      <c r="I367" s="2" t="n">
        <v>5</v>
      </c>
      <c r="J367" s="2" t="n">
        <f aca="false">F367+G367+H367</f>
        <v>132</v>
      </c>
      <c r="K367" s="3" t="n">
        <f aca="false">J367/D367</f>
        <v>0.0882352941176471</v>
      </c>
    </row>
    <row r="368" customFormat="false" ht="15" hidden="false" customHeight="false" outlineLevel="0" collapsed="false">
      <c r="A368" s="2" t="s">
        <v>278</v>
      </c>
      <c r="B368" s="2" t="s">
        <v>26</v>
      </c>
      <c r="C368" s="2" t="s">
        <v>23</v>
      </c>
      <c r="D368" s="2" t="n">
        <v>9871</v>
      </c>
      <c r="E368" s="2" t="n">
        <v>12894</v>
      </c>
      <c r="F368" s="2" t="n">
        <v>199</v>
      </c>
      <c r="G368" s="2" t="n">
        <v>40</v>
      </c>
      <c r="H368" s="2" t="n">
        <v>55</v>
      </c>
      <c r="I368" s="2" t="n">
        <v>9</v>
      </c>
      <c r="J368" s="2" t="n">
        <f aca="false">F368+G368+H368</f>
        <v>294</v>
      </c>
      <c r="K368" s="3" t="n">
        <f aca="false">J368/D368</f>
        <v>0.0297842163914497</v>
      </c>
    </row>
    <row r="369" customFormat="false" ht="15" hidden="false" customHeight="false" outlineLevel="0" collapsed="false">
      <c r="A369" s="2" t="s">
        <v>279</v>
      </c>
      <c r="B369" s="2" t="s">
        <v>15</v>
      </c>
      <c r="C369" s="2" t="s">
        <v>20</v>
      </c>
      <c r="D369" s="2" t="n">
        <v>2406</v>
      </c>
      <c r="E369" s="2" t="n">
        <v>3819</v>
      </c>
      <c r="F369" s="2" t="n">
        <v>117</v>
      </c>
      <c r="G369" s="2" t="n">
        <v>21</v>
      </c>
      <c r="H369" s="2" t="n">
        <v>41</v>
      </c>
      <c r="I369" s="2" t="n">
        <v>7</v>
      </c>
      <c r="J369" s="2" t="n">
        <f aca="false">F369+G369+H369</f>
        <v>179</v>
      </c>
      <c r="K369" s="3" t="n">
        <f aca="false">J369/D369</f>
        <v>0.0743973399833749</v>
      </c>
    </row>
    <row r="370" customFormat="false" ht="15" hidden="false" customHeight="false" outlineLevel="0" collapsed="false">
      <c r="A370" s="2" t="s">
        <v>280</v>
      </c>
      <c r="B370" s="2" t="s">
        <v>26</v>
      </c>
      <c r="C370" s="2" t="s">
        <v>23</v>
      </c>
      <c r="D370" s="2" t="n">
        <v>9301</v>
      </c>
      <c r="E370" s="2" t="n">
        <v>12345</v>
      </c>
      <c r="F370" s="2" t="n">
        <v>325</v>
      </c>
      <c r="G370" s="2" t="n">
        <v>34</v>
      </c>
      <c r="H370" s="2" t="n">
        <v>78</v>
      </c>
      <c r="I370" s="2" t="n">
        <v>14</v>
      </c>
      <c r="J370" s="2" t="n">
        <f aca="false">F370+G370+H370</f>
        <v>437</v>
      </c>
      <c r="K370" s="3" t="n">
        <f aca="false">J370/D370</f>
        <v>0.0469841952478228</v>
      </c>
    </row>
    <row r="371" customFormat="false" ht="15" hidden="false" customHeight="false" outlineLevel="0" collapsed="false">
      <c r="A371" s="2" t="s">
        <v>280</v>
      </c>
      <c r="B371" s="2" t="s">
        <v>26</v>
      </c>
      <c r="C371" s="2" t="s">
        <v>23</v>
      </c>
      <c r="D371" s="2" t="n">
        <v>8994</v>
      </c>
      <c r="E371" s="2" t="n">
        <v>12372</v>
      </c>
      <c r="F371" s="2" t="n">
        <v>273</v>
      </c>
      <c r="G371" s="2" t="n">
        <v>61</v>
      </c>
      <c r="H371" s="2" t="n">
        <v>103</v>
      </c>
      <c r="I371" s="2" t="n">
        <v>10</v>
      </c>
      <c r="J371" s="2" t="n">
        <f aca="false">F371+G371+H371</f>
        <v>437</v>
      </c>
      <c r="K371" s="3" t="n">
        <f aca="false">J371/D371</f>
        <v>0.0485879475205693</v>
      </c>
    </row>
    <row r="372" customFormat="false" ht="15" hidden="false" customHeight="false" outlineLevel="0" collapsed="false">
      <c r="A372" s="2" t="s">
        <v>281</v>
      </c>
      <c r="B372" s="2" t="s">
        <v>12</v>
      </c>
      <c r="C372" s="2" t="s">
        <v>23</v>
      </c>
      <c r="D372" s="2" t="n">
        <v>1929</v>
      </c>
      <c r="E372" s="2" t="n">
        <v>2533</v>
      </c>
      <c r="F372" s="2" t="n">
        <v>110</v>
      </c>
      <c r="G372" s="2" t="n">
        <v>13</v>
      </c>
      <c r="H372" s="2" t="n">
        <v>39</v>
      </c>
      <c r="I372" s="2" t="n">
        <v>9</v>
      </c>
      <c r="J372" s="2" t="n">
        <f aca="false">F372+G372+H372</f>
        <v>162</v>
      </c>
      <c r="K372" s="3" t="n">
        <f aca="false">J372/D372</f>
        <v>0.0839813374805599</v>
      </c>
    </row>
    <row r="373" customFormat="false" ht="15" hidden="false" customHeight="false" outlineLevel="0" collapsed="false">
      <c r="A373" s="2" t="s">
        <v>282</v>
      </c>
      <c r="B373" s="2" t="s">
        <v>15</v>
      </c>
      <c r="C373" s="2" t="s">
        <v>16</v>
      </c>
      <c r="D373" s="2" t="n">
        <v>3866</v>
      </c>
      <c r="E373" s="2" t="n">
        <v>4978</v>
      </c>
      <c r="F373" s="2" t="n">
        <v>157</v>
      </c>
      <c r="G373" s="2" t="n">
        <v>36</v>
      </c>
      <c r="H373" s="2" t="n">
        <v>47</v>
      </c>
      <c r="I373" s="2" t="n">
        <v>18</v>
      </c>
      <c r="J373" s="2" t="n">
        <f aca="false">F373+G373+H373</f>
        <v>240</v>
      </c>
      <c r="K373" s="3" t="n">
        <f aca="false">J373/D373</f>
        <v>0.0620796689084325</v>
      </c>
    </row>
    <row r="374" customFormat="false" ht="15" hidden="false" customHeight="false" outlineLevel="0" collapsed="false">
      <c r="A374" s="2" t="s">
        <v>282</v>
      </c>
      <c r="B374" s="2" t="s">
        <v>26</v>
      </c>
      <c r="C374" s="2" t="s">
        <v>13</v>
      </c>
      <c r="D374" s="2" t="n">
        <v>7775</v>
      </c>
      <c r="E374" s="2" t="n">
        <v>10385</v>
      </c>
      <c r="F374" s="2" t="n">
        <v>367</v>
      </c>
      <c r="G374" s="2" t="n">
        <v>48</v>
      </c>
      <c r="H374" s="2" t="n">
        <v>180</v>
      </c>
      <c r="I374" s="2" t="n">
        <v>35</v>
      </c>
      <c r="J374" s="2" t="n">
        <f aca="false">F374+G374+H374</f>
        <v>595</v>
      </c>
      <c r="K374" s="3" t="n">
        <f aca="false">J374/D374</f>
        <v>0.0765273311897106</v>
      </c>
    </row>
    <row r="375" customFormat="false" ht="15" hidden="false" customHeight="false" outlineLevel="0" collapsed="false">
      <c r="A375" s="2" t="s">
        <v>283</v>
      </c>
      <c r="B375" s="2" t="s">
        <v>12</v>
      </c>
      <c r="C375" s="2" t="s">
        <v>20</v>
      </c>
      <c r="D375" s="2" t="n">
        <v>923</v>
      </c>
      <c r="E375" s="2" t="n">
        <v>1228</v>
      </c>
      <c r="F375" s="2" t="n">
        <v>33</v>
      </c>
      <c r="G375" s="2" t="n">
        <v>7</v>
      </c>
      <c r="H375" s="2" t="n">
        <v>11</v>
      </c>
      <c r="I375" s="2" t="n">
        <v>3</v>
      </c>
      <c r="J375" s="2" t="n">
        <f aca="false">F375+G375+H375</f>
        <v>51</v>
      </c>
      <c r="K375" s="3" t="n">
        <f aca="false">J375/D375</f>
        <v>0.0552546045503792</v>
      </c>
    </row>
    <row r="376" customFormat="false" ht="15" hidden="false" customHeight="false" outlineLevel="0" collapsed="false">
      <c r="A376" s="2" t="s">
        <v>283</v>
      </c>
      <c r="B376" s="2" t="s">
        <v>15</v>
      </c>
      <c r="C376" s="2" t="s">
        <v>16</v>
      </c>
      <c r="D376" s="2" t="n">
        <v>1713</v>
      </c>
      <c r="E376" s="2" t="n">
        <v>2193</v>
      </c>
      <c r="F376" s="2" t="n">
        <v>42</v>
      </c>
      <c r="G376" s="2" t="n">
        <v>9</v>
      </c>
      <c r="H376" s="2" t="n">
        <v>9</v>
      </c>
      <c r="I376" s="2" t="n">
        <v>1</v>
      </c>
      <c r="J376" s="2" t="n">
        <f aca="false">F376+G376+H376</f>
        <v>60</v>
      </c>
      <c r="K376" s="3" t="n">
        <f aca="false">J376/D376</f>
        <v>0.0350262697022767</v>
      </c>
    </row>
    <row r="377" customFormat="false" ht="15" hidden="false" customHeight="false" outlineLevel="0" collapsed="false">
      <c r="A377" s="2" t="s">
        <v>283</v>
      </c>
      <c r="B377" s="2" t="s">
        <v>15</v>
      </c>
      <c r="C377" s="2" t="s">
        <v>16</v>
      </c>
      <c r="D377" s="2" t="n">
        <v>7719</v>
      </c>
      <c r="E377" s="2" t="n">
        <v>11197</v>
      </c>
      <c r="F377" s="2" t="n">
        <v>308</v>
      </c>
      <c r="G377" s="2" t="n">
        <v>50</v>
      </c>
      <c r="H377" s="2" t="n">
        <v>109</v>
      </c>
      <c r="I377" s="2" t="n">
        <v>17</v>
      </c>
      <c r="J377" s="2" t="n">
        <f aca="false">F377+G377+H377</f>
        <v>467</v>
      </c>
      <c r="K377" s="3" t="n">
        <f aca="false">J377/D377</f>
        <v>0.06050006477523</v>
      </c>
    </row>
    <row r="378" customFormat="false" ht="15" hidden="false" customHeight="false" outlineLevel="0" collapsed="false">
      <c r="A378" s="2" t="s">
        <v>284</v>
      </c>
      <c r="B378" s="2" t="s">
        <v>12</v>
      </c>
      <c r="C378" s="2" t="s">
        <v>16</v>
      </c>
      <c r="D378" s="2" t="n">
        <v>2343</v>
      </c>
      <c r="E378" s="2" t="n">
        <v>2730</v>
      </c>
      <c r="F378" s="2" t="n">
        <v>152</v>
      </c>
      <c r="G378" s="2" t="n">
        <v>18</v>
      </c>
      <c r="H378" s="2" t="n">
        <v>36</v>
      </c>
      <c r="I378" s="2" t="n">
        <v>8</v>
      </c>
      <c r="J378" s="2" t="n">
        <f aca="false">F378+G378+H378</f>
        <v>206</v>
      </c>
      <c r="K378" s="3" t="n">
        <f aca="false">J378/D378</f>
        <v>0.0879214682031583</v>
      </c>
    </row>
    <row r="379" customFormat="false" ht="15" hidden="false" customHeight="false" outlineLevel="0" collapsed="false">
      <c r="A379" s="2" t="s">
        <v>284</v>
      </c>
      <c r="B379" s="2" t="s">
        <v>12</v>
      </c>
      <c r="C379" s="2" t="s">
        <v>23</v>
      </c>
      <c r="D379" s="2" t="n">
        <v>2343</v>
      </c>
      <c r="E379" s="2" t="n">
        <v>3340</v>
      </c>
      <c r="F379" s="2" t="n">
        <v>56</v>
      </c>
      <c r="G379" s="2" t="n">
        <v>10</v>
      </c>
      <c r="H379" s="2" t="n">
        <v>26</v>
      </c>
      <c r="I379" s="2" t="n">
        <v>6</v>
      </c>
      <c r="J379" s="2" t="n">
        <f aca="false">F379+G379+H379</f>
        <v>92</v>
      </c>
      <c r="K379" s="3" t="n">
        <f aca="false">J379/D379</f>
        <v>0.039265898420828</v>
      </c>
    </row>
    <row r="380" customFormat="false" ht="15" hidden="false" customHeight="false" outlineLevel="0" collapsed="false">
      <c r="A380" s="2" t="s">
        <v>285</v>
      </c>
      <c r="B380" s="2" t="s">
        <v>15</v>
      </c>
      <c r="C380" s="2" t="s">
        <v>13</v>
      </c>
      <c r="D380" s="2" t="n">
        <v>3883</v>
      </c>
      <c r="E380" s="2" t="n">
        <v>6018</v>
      </c>
      <c r="F380" s="2" t="n">
        <v>60</v>
      </c>
      <c r="G380" s="2" t="n">
        <v>10</v>
      </c>
      <c r="H380" s="2" t="n">
        <v>29</v>
      </c>
      <c r="I380" s="2" t="n">
        <v>3</v>
      </c>
      <c r="J380" s="2" t="n">
        <f aca="false">F380+G380+H380</f>
        <v>99</v>
      </c>
      <c r="K380" s="3" t="n">
        <f aca="false">J380/D380</f>
        <v>0.0254957507082153</v>
      </c>
    </row>
    <row r="381" customFormat="false" ht="15" hidden="false" customHeight="false" outlineLevel="0" collapsed="false">
      <c r="A381" s="2" t="s">
        <v>286</v>
      </c>
      <c r="B381" s="2" t="s">
        <v>12</v>
      </c>
      <c r="C381" s="2" t="s">
        <v>23</v>
      </c>
      <c r="D381" s="2" t="n">
        <v>2633</v>
      </c>
      <c r="E381" s="2" t="n">
        <v>3354</v>
      </c>
      <c r="F381" s="2" t="n">
        <v>43</v>
      </c>
      <c r="G381" s="2" t="n">
        <v>7</v>
      </c>
      <c r="H381" s="2" t="n">
        <v>14</v>
      </c>
      <c r="I381" s="2" t="n">
        <v>4</v>
      </c>
      <c r="J381" s="2" t="n">
        <f aca="false">F381+G381+H381</f>
        <v>64</v>
      </c>
      <c r="K381" s="3" t="n">
        <f aca="false">J381/D381</f>
        <v>0.0243068742878845</v>
      </c>
    </row>
    <row r="382" customFormat="false" ht="15" hidden="false" customHeight="false" outlineLevel="0" collapsed="false">
      <c r="A382" s="2" t="s">
        <v>287</v>
      </c>
      <c r="B382" s="2" t="s">
        <v>15</v>
      </c>
      <c r="C382" s="2" t="s">
        <v>18</v>
      </c>
      <c r="D382" s="2" t="n">
        <v>4232</v>
      </c>
      <c r="E382" s="2" t="n">
        <v>6704</v>
      </c>
      <c r="F382" s="2" t="n">
        <v>154</v>
      </c>
      <c r="G382" s="2" t="n">
        <v>26</v>
      </c>
      <c r="H382" s="2" t="n">
        <v>62</v>
      </c>
      <c r="I382" s="2" t="n">
        <v>17</v>
      </c>
      <c r="J382" s="2" t="n">
        <f aca="false">F382+G382+H382</f>
        <v>242</v>
      </c>
      <c r="K382" s="3" t="n">
        <f aca="false">J382/D382</f>
        <v>0.0571833648393195</v>
      </c>
    </row>
    <row r="383" customFormat="false" ht="15" hidden="false" customHeight="false" outlineLevel="0" collapsed="false">
      <c r="A383" s="2" t="s">
        <v>287</v>
      </c>
      <c r="B383" s="2" t="s">
        <v>15</v>
      </c>
      <c r="C383" s="2" t="s">
        <v>16</v>
      </c>
      <c r="D383" s="2" t="n">
        <v>9773</v>
      </c>
      <c r="E383" s="2" t="n">
        <v>13601</v>
      </c>
      <c r="F383" s="2" t="n">
        <v>155</v>
      </c>
      <c r="G383" s="2" t="n">
        <v>11</v>
      </c>
      <c r="H383" s="2" t="n">
        <v>50</v>
      </c>
      <c r="I383" s="2" t="n">
        <v>11</v>
      </c>
      <c r="J383" s="2" t="n">
        <f aca="false">F383+G383+H383</f>
        <v>216</v>
      </c>
      <c r="K383" s="3" t="n">
        <f aca="false">J383/D383</f>
        <v>0.0221017087895222</v>
      </c>
    </row>
    <row r="384" customFormat="false" ht="15" hidden="false" customHeight="false" outlineLevel="0" collapsed="false">
      <c r="A384" s="2" t="s">
        <v>288</v>
      </c>
      <c r="B384" s="2" t="s">
        <v>19</v>
      </c>
      <c r="C384" s="2" t="s">
        <v>13</v>
      </c>
      <c r="D384" s="2" t="n">
        <v>1627</v>
      </c>
      <c r="E384" s="2" t="n">
        <v>2246</v>
      </c>
      <c r="F384" s="2" t="n">
        <v>63</v>
      </c>
      <c r="G384" s="2" t="n">
        <v>14</v>
      </c>
      <c r="H384" s="2" t="n">
        <v>23</v>
      </c>
      <c r="I384" s="2" t="n">
        <v>8</v>
      </c>
      <c r="J384" s="2" t="n">
        <f aca="false">F384+G384+H384</f>
        <v>100</v>
      </c>
      <c r="K384" s="3" t="n">
        <f aca="false">J384/D384</f>
        <v>0.0614628149969269</v>
      </c>
    </row>
    <row r="385" customFormat="false" ht="15" hidden="false" customHeight="false" outlineLevel="0" collapsed="false">
      <c r="A385" s="2" t="s">
        <v>289</v>
      </c>
      <c r="B385" s="2" t="s">
        <v>15</v>
      </c>
      <c r="C385" s="2" t="s">
        <v>23</v>
      </c>
      <c r="D385" s="2" t="n">
        <v>4477</v>
      </c>
      <c r="E385" s="2" t="n">
        <v>6308</v>
      </c>
      <c r="F385" s="2" t="n">
        <v>168</v>
      </c>
      <c r="G385" s="2" t="n">
        <v>31</v>
      </c>
      <c r="H385" s="2" t="n">
        <v>26</v>
      </c>
      <c r="I385" s="2" t="n">
        <v>13</v>
      </c>
      <c r="J385" s="2" t="n">
        <f aca="false">F385+G385+H385</f>
        <v>225</v>
      </c>
      <c r="K385" s="3" t="n">
        <f aca="false">J385/D385</f>
        <v>0.0502568684386866</v>
      </c>
    </row>
    <row r="386" customFormat="false" ht="15" hidden="false" customHeight="false" outlineLevel="0" collapsed="false">
      <c r="A386" s="2" t="s">
        <v>289</v>
      </c>
      <c r="B386" s="2" t="s">
        <v>15</v>
      </c>
      <c r="C386" s="2" t="s">
        <v>16</v>
      </c>
      <c r="D386" s="2" t="n">
        <v>6175</v>
      </c>
      <c r="E386" s="2" t="n">
        <v>7886</v>
      </c>
      <c r="F386" s="2" t="n">
        <v>147</v>
      </c>
      <c r="G386" s="2" t="n">
        <v>21</v>
      </c>
      <c r="H386" s="2" t="n">
        <v>39</v>
      </c>
      <c r="I386" s="2" t="n">
        <v>10</v>
      </c>
      <c r="J386" s="2" t="n">
        <f aca="false">F386+G386+H386</f>
        <v>207</v>
      </c>
      <c r="K386" s="3" t="n">
        <f aca="false">J386/D386</f>
        <v>0.0335222672064777</v>
      </c>
    </row>
    <row r="387" customFormat="false" ht="15" hidden="false" customHeight="false" outlineLevel="0" collapsed="false">
      <c r="A387" s="2" t="s">
        <v>289</v>
      </c>
      <c r="B387" s="2" t="s">
        <v>15</v>
      </c>
      <c r="C387" s="2" t="s">
        <v>18</v>
      </c>
      <c r="D387" s="2" t="n">
        <v>7264</v>
      </c>
      <c r="E387" s="2" t="n">
        <v>10881</v>
      </c>
      <c r="F387" s="2" t="n">
        <v>177</v>
      </c>
      <c r="G387" s="2" t="n">
        <v>33</v>
      </c>
      <c r="H387" s="2" t="n">
        <v>38</v>
      </c>
      <c r="I387" s="2" t="n">
        <v>9</v>
      </c>
      <c r="J387" s="2" t="n">
        <f aca="false">F387+G387+H387</f>
        <v>248</v>
      </c>
      <c r="K387" s="3" t="n">
        <f aca="false">J387/D387</f>
        <v>0.0341409691629956</v>
      </c>
    </row>
    <row r="388" customFormat="false" ht="15" hidden="false" customHeight="false" outlineLevel="0" collapsed="false">
      <c r="A388" s="2" t="s">
        <v>290</v>
      </c>
      <c r="B388" s="2" t="s">
        <v>19</v>
      </c>
      <c r="C388" s="2" t="s">
        <v>13</v>
      </c>
      <c r="D388" s="2" t="n">
        <v>2853</v>
      </c>
      <c r="E388" s="2" t="n">
        <v>3298</v>
      </c>
      <c r="F388" s="2" t="n">
        <v>163</v>
      </c>
      <c r="G388" s="2" t="n">
        <v>26</v>
      </c>
      <c r="H388" s="2" t="n">
        <v>41</v>
      </c>
      <c r="I388" s="2" t="n">
        <v>8</v>
      </c>
      <c r="J388" s="2" t="n">
        <f aca="false">F388+G388+H388</f>
        <v>230</v>
      </c>
      <c r="K388" s="3" t="n">
        <f aca="false">J388/D388</f>
        <v>0.0806168944970207</v>
      </c>
    </row>
    <row r="389" customFormat="false" ht="15" hidden="false" customHeight="false" outlineLevel="0" collapsed="false">
      <c r="A389" s="2" t="s">
        <v>290</v>
      </c>
      <c r="B389" s="2" t="s">
        <v>22</v>
      </c>
      <c r="C389" s="2" t="s">
        <v>18</v>
      </c>
      <c r="D389" s="2" t="n">
        <v>3688</v>
      </c>
      <c r="E389" s="2" t="n">
        <v>5179</v>
      </c>
      <c r="F389" s="2" t="n">
        <v>101</v>
      </c>
      <c r="G389" s="2" t="n">
        <v>9</v>
      </c>
      <c r="H389" s="2" t="n">
        <v>45</v>
      </c>
      <c r="I389" s="2" t="n">
        <v>10</v>
      </c>
      <c r="J389" s="2" t="n">
        <f aca="false">F389+G389+H389</f>
        <v>155</v>
      </c>
      <c r="K389" s="3" t="n">
        <f aca="false">J389/D389</f>
        <v>0.0420281995661605</v>
      </c>
    </row>
    <row r="390" customFormat="false" ht="15" hidden="false" customHeight="false" outlineLevel="0" collapsed="false">
      <c r="A390" s="2" t="s">
        <v>291</v>
      </c>
      <c r="B390" s="2" t="s">
        <v>12</v>
      </c>
      <c r="C390" s="2" t="s">
        <v>13</v>
      </c>
      <c r="D390" s="2" t="n">
        <v>1206</v>
      </c>
      <c r="E390" s="2" t="n">
        <v>1584</v>
      </c>
      <c r="F390" s="2" t="n">
        <v>67</v>
      </c>
      <c r="G390" s="2" t="n">
        <v>6</v>
      </c>
      <c r="H390" s="2" t="n">
        <v>26</v>
      </c>
      <c r="I390" s="2" t="n">
        <v>4</v>
      </c>
      <c r="J390" s="2" t="n">
        <f aca="false">F390+G390+H390</f>
        <v>99</v>
      </c>
      <c r="K390" s="3" t="n">
        <f aca="false">J390/D390</f>
        <v>0.082089552238806</v>
      </c>
    </row>
    <row r="391" customFormat="false" ht="15" hidden="false" customHeight="false" outlineLevel="0" collapsed="false">
      <c r="A391" s="2" t="s">
        <v>292</v>
      </c>
      <c r="B391" s="2" t="s">
        <v>26</v>
      </c>
      <c r="C391" s="2" t="s">
        <v>13</v>
      </c>
      <c r="D391" s="2" t="n">
        <v>12301</v>
      </c>
      <c r="E391" s="2" t="n">
        <v>17071</v>
      </c>
      <c r="F391" s="2" t="n">
        <v>304</v>
      </c>
      <c r="G391" s="2" t="n">
        <v>39</v>
      </c>
      <c r="H391" s="2" t="n">
        <v>119</v>
      </c>
      <c r="I391" s="2" t="n">
        <v>27</v>
      </c>
      <c r="J391" s="2" t="n">
        <f aca="false">F391+G391+H391</f>
        <v>462</v>
      </c>
      <c r="K391" s="3" t="n">
        <f aca="false">J391/D391</f>
        <v>0.0375579221201528</v>
      </c>
    </row>
    <row r="392" customFormat="false" ht="15" hidden="false" customHeight="false" outlineLevel="0" collapsed="false">
      <c r="A392" s="2" t="s">
        <v>292</v>
      </c>
      <c r="B392" s="2" t="s">
        <v>26</v>
      </c>
      <c r="C392" s="2" t="s">
        <v>18</v>
      </c>
      <c r="D392" s="2" t="n">
        <v>6172</v>
      </c>
      <c r="E392" s="2" t="n">
        <v>9821</v>
      </c>
      <c r="F392" s="2" t="n">
        <v>221</v>
      </c>
      <c r="G392" s="2" t="n">
        <v>28</v>
      </c>
      <c r="H392" s="2" t="n">
        <v>63</v>
      </c>
      <c r="I392" s="2" t="n">
        <v>21</v>
      </c>
      <c r="J392" s="2" t="n">
        <f aca="false">F392+G392+H392</f>
        <v>312</v>
      </c>
      <c r="K392" s="3" t="n">
        <f aca="false">J392/D392</f>
        <v>0.050550874918989</v>
      </c>
    </row>
    <row r="393" customFormat="false" ht="15" hidden="false" customHeight="false" outlineLevel="0" collapsed="false">
      <c r="A393" s="2" t="s">
        <v>293</v>
      </c>
      <c r="B393" s="2" t="s">
        <v>15</v>
      </c>
      <c r="C393" s="2" t="s">
        <v>16</v>
      </c>
      <c r="D393" s="2" t="n">
        <v>996</v>
      </c>
      <c r="E393" s="2" t="n">
        <v>1384</v>
      </c>
      <c r="F393" s="2" t="n">
        <v>16</v>
      </c>
      <c r="G393" s="2" t="n">
        <v>3</v>
      </c>
      <c r="H393" s="2" t="n">
        <v>3</v>
      </c>
      <c r="I393" s="2" t="n">
        <v>1</v>
      </c>
      <c r="J393" s="2" t="n">
        <f aca="false">F393+G393+H393</f>
        <v>22</v>
      </c>
      <c r="K393" s="3" t="n">
        <f aca="false">J393/D393</f>
        <v>0.0220883534136546</v>
      </c>
    </row>
    <row r="394" customFormat="false" ht="15" hidden="false" customHeight="false" outlineLevel="0" collapsed="false">
      <c r="A394" s="2" t="s">
        <v>294</v>
      </c>
      <c r="B394" s="2" t="s">
        <v>26</v>
      </c>
      <c r="C394" s="2" t="s">
        <v>20</v>
      </c>
      <c r="D394" s="2" t="n">
        <v>5955</v>
      </c>
      <c r="E394" s="2" t="n">
        <v>8086</v>
      </c>
      <c r="F394" s="2" t="n">
        <v>324</v>
      </c>
      <c r="G394" s="2" t="n">
        <v>22</v>
      </c>
      <c r="H394" s="2" t="n">
        <v>94</v>
      </c>
      <c r="I394" s="2" t="n">
        <v>14</v>
      </c>
      <c r="J394" s="2" t="n">
        <f aca="false">F394+G394+H394</f>
        <v>440</v>
      </c>
      <c r="K394" s="3" t="n">
        <f aca="false">J394/D394</f>
        <v>0.073887489504618</v>
      </c>
    </row>
    <row r="395" customFormat="false" ht="15" hidden="false" customHeight="false" outlineLevel="0" collapsed="false">
      <c r="A395" s="2" t="s">
        <v>295</v>
      </c>
      <c r="B395" s="2" t="s">
        <v>15</v>
      </c>
      <c r="C395" s="2" t="s">
        <v>18</v>
      </c>
      <c r="D395" s="2" t="n">
        <v>7539</v>
      </c>
      <c r="E395" s="2" t="n">
        <v>11875</v>
      </c>
      <c r="F395" s="2" t="n">
        <v>263</v>
      </c>
      <c r="G395" s="2" t="n">
        <v>54</v>
      </c>
      <c r="H395" s="2" t="n">
        <v>66</v>
      </c>
      <c r="I395" s="2" t="n">
        <v>23</v>
      </c>
      <c r="J395" s="2" t="n">
        <f aca="false">F395+G395+H395</f>
        <v>383</v>
      </c>
      <c r="K395" s="3" t="n">
        <f aca="false">J395/D395</f>
        <v>0.0508024936994296</v>
      </c>
    </row>
    <row r="396" customFormat="false" ht="15" hidden="false" customHeight="false" outlineLevel="0" collapsed="false">
      <c r="A396" s="2" t="s">
        <v>295</v>
      </c>
      <c r="B396" s="2" t="s">
        <v>26</v>
      </c>
      <c r="C396" s="2" t="s">
        <v>13</v>
      </c>
      <c r="D396" s="2" t="n">
        <v>3865</v>
      </c>
      <c r="E396" s="2" t="n">
        <v>5943</v>
      </c>
      <c r="F396" s="2" t="n">
        <v>86</v>
      </c>
      <c r="G396" s="2" t="n">
        <v>17</v>
      </c>
      <c r="H396" s="2" t="n">
        <v>20</v>
      </c>
      <c r="I396" s="2" t="n">
        <v>10</v>
      </c>
      <c r="J396" s="2" t="n">
        <f aca="false">F396+G396+H396</f>
        <v>123</v>
      </c>
      <c r="K396" s="3" t="n">
        <f aca="false">J396/D396</f>
        <v>0.0318240620957309</v>
      </c>
    </row>
    <row r="397" customFormat="false" ht="15" hidden="false" customHeight="false" outlineLevel="0" collapsed="false">
      <c r="A397" s="2" t="s">
        <v>296</v>
      </c>
      <c r="B397" s="2" t="s">
        <v>19</v>
      </c>
      <c r="C397" s="2" t="s">
        <v>13</v>
      </c>
      <c r="D397" s="2" t="n">
        <v>1783</v>
      </c>
      <c r="E397" s="2" t="n">
        <v>2780</v>
      </c>
      <c r="F397" s="2" t="n">
        <v>67</v>
      </c>
      <c r="G397" s="2" t="n">
        <v>8</v>
      </c>
      <c r="H397" s="2" t="n">
        <v>35</v>
      </c>
      <c r="I397" s="2" t="n">
        <v>9</v>
      </c>
      <c r="J397" s="2" t="n">
        <f aca="false">F397+G397+H397</f>
        <v>110</v>
      </c>
      <c r="K397" s="3" t="n">
        <f aca="false">J397/D397</f>
        <v>0.0616937745372967</v>
      </c>
    </row>
    <row r="398" customFormat="false" ht="15" hidden="false" customHeight="false" outlineLevel="0" collapsed="false">
      <c r="A398" s="2" t="s">
        <v>296</v>
      </c>
      <c r="B398" s="2" t="s">
        <v>15</v>
      </c>
      <c r="C398" s="2" t="s">
        <v>23</v>
      </c>
      <c r="D398" s="2" t="n">
        <v>2568</v>
      </c>
      <c r="E398" s="2" t="n">
        <v>3212</v>
      </c>
      <c r="F398" s="2" t="n">
        <v>128</v>
      </c>
      <c r="G398" s="2" t="n">
        <v>14</v>
      </c>
      <c r="H398" s="2" t="n">
        <v>42</v>
      </c>
      <c r="I398" s="2" t="n">
        <v>14</v>
      </c>
      <c r="J398" s="2" t="n">
        <f aca="false">F398+G398+H398</f>
        <v>184</v>
      </c>
      <c r="K398" s="3" t="n">
        <f aca="false">J398/D398</f>
        <v>0.0716510903426791</v>
      </c>
    </row>
    <row r="399" customFormat="false" ht="15" hidden="false" customHeight="false" outlineLevel="0" collapsed="false">
      <c r="A399" s="2" t="s">
        <v>297</v>
      </c>
      <c r="B399" s="2" t="s">
        <v>22</v>
      </c>
      <c r="C399" s="2" t="s">
        <v>23</v>
      </c>
      <c r="D399" s="2" t="n">
        <v>2591</v>
      </c>
      <c r="E399" s="2" t="n">
        <v>3260</v>
      </c>
      <c r="F399" s="2" t="n">
        <v>140</v>
      </c>
      <c r="G399" s="2" t="n">
        <v>26</v>
      </c>
      <c r="H399" s="2" t="n">
        <v>55</v>
      </c>
      <c r="I399" s="2" t="n">
        <v>17</v>
      </c>
      <c r="J399" s="2" t="n">
        <f aca="false">F399+G399+H399</f>
        <v>221</v>
      </c>
      <c r="K399" s="3" t="n">
        <f aca="false">J399/D399</f>
        <v>0.0852952527981474</v>
      </c>
    </row>
    <row r="400" customFormat="false" ht="15" hidden="false" customHeight="false" outlineLevel="0" collapsed="false">
      <c r="A400" s="2" t="s">
        <v>298</v>
      </c>
      <c r="B400" s="2" t="s">
        <v>15</v>
      </c>
      <c r="C400" s="2" t="s">
        <v>13</v>
      </c>
      <c r="D400" s="2" t="n">
        <v>5696</v>
      </c>
      <c r="E400" s="2" t="n">
        <v>6798</v>
      </c>
      <c r="F400" s="2" t="n">
        <v>116</v>
      </c>
      <c r="G400" s="2" t="n">
        <v>19</v>
      </c>
      <c r="H400" s="2" t="n">
        <v>36</v>
      </c>
      <c r="I400" s="2" t="n">
        <v>7</v>
      </c>
      <c r="J400" s="2" t="n">
        <f aca="false">F400+G400+H400</f>
        <v>171</v>
      </c>
      <c r="K400" s="3" t="n">
        <f aca="false">J400/D400</f>
        <v>0.0300210674157303</v>
      </c>
    </row>
    <row r="401" customFormat="false" ht="15" hidden="false" customHeight="false" outlineLevel="0" collapsed="false">
      <c r="A401" s="2" t="s">
        <v>299</v>
      </c>
      <c r="B401" s="2" t="s">
        <v>22</v>
      </c>
      <c r="C401" s="2" t="s">
        <v>13</v>
      </c>
      <c r="D401" s="2" t="n">
        <v>1142</v>
      </c>
      <c r="E401" s="2" t="n">
        <v>1350</v>
      </c>
      <c r="F401" s="2" t="n">
        <v>17</v>
      </c>
      <c r="G401" s="2" t="n">
        <v>1</v>
      </c>
      <c r="H401" s="2" t="n">
        <v>7</v>
      </c>
      <c r="I401" s="2" t="n">
        <v>1</v>
      </c>
      <c r="J401" s="2" t="n">
        <f aca="false">F401+G401+H401</f>
        <v>25</v>
      </c>
      <c r="K401" s="3" t="n">
        <f aca="false">J401/D401</f>
        <v>0.0218914185639229</v>
      </c>
    </row>
    <row r="402" customFormat="false" ht="15" hidden="false" customHeight="false" outlineLevel="0" collapsed="false">
      <c r="A402" s="2" t="s">
        <v>299</v>
      </c>
      <c r="B402" s="2" t="s">
        <v>19</v>
      </c>
      <c r="C402" s="2" t="s">
        <v>16</v>
      </c>
      <c r="D402" s="2" t="n">
        <v>3146</v>
      </c>
      <c r="E402" s="2" t="n">
        <v>4390</v>
      </c>
      <c r="F402" s="2" t="n">
        <v>84</v>
      </c>
      <c r="G402" s="2" t="n">
        <v>6</v>
      </c>
      <c r="H402" s="2" t="n">
        <v>37</v>
      </c>
      <c r="I402" s="2" t="n">
        <v>8</v>
      </c>
      <c r="J402" s="2" t="n">
        <f aca="false">F402+G402+H402</f>
        <v>127</v>
      </c>
      <c r="K402" s="3" t="n">
        <f aca="false">J402/D402</f>
        <v>0.040368722186904</v>
      </c>
    </row>
    <row r="403" customFormat="false" ht="15" hidden="false" customHeight="false" outlineLevel="0" collapsed="false">
      <c r="A403" s="2" t="s">
        <v>299</v>
      </c>
      <c r="B403" s="2" t="s">
        <v>15</v>
      </c>
      <c r="C403" s="2" t="s">
        <v>16</v>
      </c>
      <c r="D403" s="2" t="n">
        <v>7017</v>
      </c>
      <c r="E403" s="2" t="n">
        <v>10632</v>
      </c>
      <c r="F403" s="2" t="n">
        <v>226</v>
      </c>
      <c r="G403" s="2" t="n">
        <v>42</v>
      </c>
      <c r="H403" s="2" t="n">
        <v>97</v>
      </c>
      <c r="I403" s="2" t="n">
        <v>12</v>
      </c>
      <c r="J403" s="2" t="n">
        <f aca="false">F403+G403+H403</f>
        <v>365</v>
      </c>
      <c r="K403" s="3" t="n">
        <f aca="false">J403/D403</f>
        <v>0.0520165312811743</v>
      </c>
    </row>
    <row r="404" customFormat="false" ht="15" hidden="false" customHeight="false" outlineLevel="0" collapsed="false">
      <c r="A404" s="2" t="s">
        <v>300</v>
      </c>
      <c r="B404" s="2" t="s">
        <v>26</v>
      </c>
      <c r="C404" s="2" t="s">
        <v>16</v>
      </c>
      <c r="D404" s="2" t="n">
        <v>4537</v>
      </c>
      <c r="E404" s="2" t="n">
        <v>5397</v>
      </c>
      <c r="F404" s="2" t="n">
        <v>122</v>
      </c>
      <c r="G404" s="2" t="n">
        <v>25</v>
      </c>
      <c r="H404" s="2" t="n">
        <v>20</v>
      </c>
      <c r="I404" s="2" t="n">
        <v>4</v>
      </c>
      <c r="J404" s="2" t="n">
        <f aca="false">F404+G404+H404</f>
        <v>167</v>
      </c>
      <c r="K404" s="3" t="n">
        <f aca="false">J404/D404</f>
        <v>0.0368084637425612</v>
      </c>
    </row>
    <row r="405" customFormat="false" ht="15" hidden="false" customHeight="false" outlineLevel="0" collapsed="false">
      <c r="A405" s="2" t="s">
        <v>301</v>
      </c>
      <c r="B405" s="2" t="s">
        <v>15</v>
      </c>
      <c r="C405" s="2" t="s">
        <v>23</v>
      </c>
      <c r="D405" s="2" t="n">
        <v>6221</v>
      </c>
      <c r="E405" s="2" t="n">
        <v>8852</v>
      </c>
      <c r="F405" s="2" t="n">
        <v>394</v>
      </c>
      <c r="G405" s="2" t="n">
        <v>28</v>
      </c>
      <c r="H405" s="2" t="n">
        <v>129</v>
      </c>
      <c r="I405" s="2" t="n">
        <v>13</v>
      </c>
      <c r="J405" s="2" t="n">
        <f aca="false">F405+G405+H405</f>
        <v>551</v>
      </c>
      <c r="K405" s="3" t="n">
        <f aca="false">J405/D405</f>
        <v>0.0885709692975406</v>
      </c>
    </row>
    <row r="406" customFormat="false" ht="15" hidden="false" customHeight="false" outlineLevel="0" collapsed="false">
      <c r="A406" s="2" t="s">
        <v>302</v>
      </c>
      <c r="B406" s="2" t="s">
        <v>19</v>
      </c>
      <c r="C406" s="2" t="s">
        <v>16</v>
      </c>
      <c r="D406" s="2" t="n">
        <v>698</v>
      </c>
      <c r="E406" s="2" t="n">
        <v>1093</v>
      </c>
      <c r="F406" s="2" t="n">
        <v>27</v>
      </c>
      <c r="G406" s="2" t="n">
        <v>5</v>
      </c>
      <c r="H406" s="2" t="n">
        <v>10</v>
      </c>
      <c r="I406" s="2" t="n">
        <v>3</v>
      </c>
      <c r="J406" s="2" t="n">
        <f aca="false">F406+G406+H406</f>
        <v>42</v>
      </c>
      <c r="K406" s="3" t="n">
        <f aca="false">J406/D406</f>
        <v>0.0601719197707736</v>
      </c>
    </row>
    <row r="407" customFormat="false" ht="15" hidden="false" customHeight="false" outlineLevel="0" collapsed="false">
      <c r="A407" s="2" t="s">
        <v>302</v>
      </c>
      <c r="B407" s="2" t="s">
        <v>15</v>
      </c>
      <c r="C407" s="2" t="s">
        <v>13</v>
      </c>
      <c r="D407" s="2" t="n">
        <v>11060</v>
      </c>
      <c r="E407" s="2" t="n">
        <v>16886</v>
      </c>
      <c r="F407" s="2" t="n">
        <v>469</v>
      </c>
      <c r="G407" s="2" t="n">
        <v>92</v>
      </c>
      <c r="H407" s="2" t="n">
        <v>215</v>
      </c>
      <c r="I407" s="2" t="n">
        <v>55</v>
      </c>
      <c r="J407" s="2" t="n">
        <f aca="false">F407+G407+H407</f>
        <v>776</v>
      </c>
      <c r="K407" s="3" t="n">
        <f aca="false">J407/D407</f>
        <v>0.0701627486437613</v>
      </c>
    </row>
    <row r="408" customFormat="false" ht="15" hidden="false" customHeight="false" outlineLevel="0" collapsed="false">
      <c r="A408" s="2" t="s">
        <v>303</v>
      </c>
      <c r="B408" s="2" t="s">
        <v>15</v>
      </c>
      <c r="C408" s="2" t="s">
        <v>20</v>
      </c>
      <c r="D408" s="2" t="n">
        <v>3248</v>
      </c>
      <c r="E408" s="2" t="n">
        <v>4104</v>
      </c>
      <c r="F408" s="2" t="n">
        <v>87</v>
      </c>
      <c r="G408" s="2" t="n">
        <v>11</v>
      </c>
      <c r="H408" s="2" t="n">
        <v>35</v>
      </c>
      <c r="I408" s="2" t="n">
        <v>3</v>
      </c>
      <c r="J408" s="2" t="n">
        <f aca="false">F408+G408+H408</f>
        <v>133</v>
      </c>
      <c r="K408" s="3" t="n">
        <f aca="false">J408/D408</f>
        <v>0.040948275862069</v>
      </c>
    </row>
    <row r="409" customFormat="false" ht="15" hidden="false" customHeight="false" outlineLevel="0" collapsed="false">
      <c r="A409" s="2" t="s">
        <v>303</v>
      </c>
      <c r="B409" s="2" t="s">
        <v>22</v>
      </c>
      <c r="C409" s="2" t="s">
        <v>23</v>
      </c>
      <c r="D409" s="2" t="n">
        <v>4926</v>
      </c>
      <c r="E409" s="2" t="n">
        <v>7355</v>
      </c>
      <c r="F409" s="2" t="n">
        <v>290</v>
      </c>
      <c r="G409" s="2" t="n">
        <v>48</v>
      </c>
      <c r="H409" s="2" t="n">
        <v>49</v>
      </c>
      <c r="I409" s="2" t="n">
        <v>14</v>
      </c>
      <c r="J409" s="2" t="n">
        <f aca="false">F409+G409+H409</f>
        <v>387</v>
      </c>
      <c r="K409" s="3" t="n">
        <f aca="false">J409/D409</f>
        <v>0.0785627283800244</v>
      </c>
    </row>
    <row r="410" customFormat="false" ht="15" hidden="false" customHeight="false" outlineLevel="0" collapsed="false">
      <c r="A410" s="2" t="s">
        <v>304</v>
      </c>
      <c r="B410" s="2" t="s">
        <v>15</v>
      </c>
      <c r="C410" s="2" t="s">
        <v>18</v>
      </c>
      <c r="D410" s="2" t="n">
        <v>4548</v>
      </c>
      <c r="E410" s="2" t="n">
        <v>6900</v>
      </c>
      <c r="F410" s="2" t="n">
        <v>66</v>
      </c>
      <c r="G410" s="2" t="n">
        <v>7</v>
      </c>
      <c r="H410" s="2" t="n">
        <v>19</v>
      </c>
      <c r="I410" s="2" t="n">
        <v>4</v>
      </c>
      <c r="J410" s="2" t="n">
        <f aca="false">F410+G410+H410</f>
        <v>92</v>
      </c>
      <c r="K410" s="3" t="n">
        <f aca="false">J410/D410</f>
        <v>0.0202286719437115</v>
      </c>
    </row>
    <row r="411" customFormat="false" ht="15" hidden="false" customHeight="false" outlineLevel="0" collapsed="false">
      <c r="A411" s="2" t="s">
        <v>305</v>
      </c>
      <c r="B411" s="2" t="s">
        <v>15</v>
      </c>
      <c r="C411" s="2" t="s">
        <v>20</v>
      </c>
      <c r="D411" s="2" t="n">
        <v>6056</v>
      </c>
      <c r="E411" s="2" t="n">
        <v>8123</v>
      </c>
      <c r="F411" s="2" t="n">
        <v>161</v>
      </c>
      <c r="G411" s="2" t="n">
        <v>16</v>
      </c>
      <c r="H411" s="2" t="n">
        <v>87</v>
      </c>
      <c r="I411" s="2" t="n">
        <v>13</v>
      </c>
      <c r="J411" s="2" t="n">
        <f aca="false">F411+G411+H411</f>
        <v>264</v>
      </c>
      <c r="K411" s="3" t="n">
        <f aca="false">J411/D411</f>
        <v>0.0435931307793923</v>
      </c>
    </row>
    <row r="412" customFormat="false" ht="15" hidden="false" customHeight="false" outlineLevel="0" collapsed="false">
      <c r="A412" s="2" t="s">
        <v>306</v>
      </c>
      <c r="B412" s="2" t="s">
        <v>12</v>
      </c>
      <c r="C412" s="2" t="s">
        <v>18</v>
      </c>
      <c r="D412" s="2" t="n">
        <v>3163</v>
      </c>
      <c r="E412" s="2" t="n">
        <v>4938</v>
      </c>
      <c r="F412" s="2" t="n">
        <v>161</v>
      </c>
      <c r="G412" s="2" t="n">
        <v>13</v>
      </c>
      <c r="H412" s="2" t="n">
        <v>42</v>
      </c>
      <c r="I412" s="2" t="n">
        <v>7</v>
      </c>
      <c r="J412" s="2" t="n">
        <f aca="false">F412+G412+H412</f>
        <v>216</v>
      </c>
      <c r="K412" s="3" t="n">
        <f aca="false">J412/D412</f>
        <v>0.0682895984824534</v>
      </c>
    </row>
    <row r="413" customFormat="false" ht="15" hidden="false" customHeight="false" outlineLevel="0" collapsed="false">
      <c r="A413" s="2" t="s">
        <v>307</v>
      </c>
      <c r="B413" s="2" t="s">
        <v>15</v>
      </c>
      <c r="C413" s="2" t="s">
        <v>20</v>
      </c>
      <c r="D413" s="2" t="n">
        <v>5747</v>
      </c>
      <c r="E413" s="2" t="n">
        <v>7725</v>
      </c>
      <c r="F413" s="2" t="n">
        <v>121</v>
      </c>
      <c r="G413" s="2" t="n">
        <v>18</v>
      </c>
      <c r="H413" s="2" t="n">
        <v>24</v>
      </c>
      <c r="I413" s="2" t="n">
        <v>9</v>
      </c>
      <c r="J413" s="2" t="n">
        <f aca="false">F413+G413+H413</f>
        <v>163</v>
      </c>
      <c r="K413" s="3" t="n">
        <f aca="false">J413/D413</f>
        <v>0.0283626239777275</v>
      </c>
    </row>
    <row r="414" customFormat="false" ht="15" hidden="false" customHeight="false" outlineLevel="0" collapsed="false">
      <c r="A414" s="2" t="s">
        <v>307</v>
      </c>
      <c r="B414" s="2" t="s">
        <v>15</v>
      </c>
      <c r="C414" s="2" t="s">
        <v>20</v>
      </c>
      <c r="D414" s="2" t="n">
        <v>6687</v>
      </c>
      <c r="E414" s="2" t="n">
        <v>8464</v>
      </c>
      <c r="F414" s="2" t="n">
        <v>103</v>
      </c>
      <c r="G414" s="2" t="n">
        <v>10</v>
      </c>
      <c r="H414" s="2" t="n">
        <v>34</v>
      </c>
      <c r="I414" s="2" t="n">
        <v>5</v>
      </c>
      <c r="J414" s="2" t="n">
        <f aca="false">F414+G414+H414</f>
        <v>147</v>
      </c>
      <c r="K414" s="3" t="n">
        <f aca="false">J414/D414</f>
        <v>0.0219829519964109</v>
      </c>
    </row>
    <row r="415" customFormat="false" ht="15" hidden="false" customHeight="false" outlineLevel="0" collapsed="false">
      <c r="A415" s="2" t="s">
        <v>307</v>
      </c>
      <c r="B415" s="2" t="s">
        <v>26</v>
      </c>
      <c r="C415" s="2" t="s">
        <v>16</v>
      </c>
      <c r="D415" s="2" t="n">
        <v>6990</v>
      </c>
      <c r="E415" s="2" t="n">
        <v>8485</v>
      </c>
      <c r="F415" s="2" t="n">
        <v>106</v>
      </c>
      <c r="G415" s="2" t="n">
        <v>16</v>
      </c>
      <c r="H415" s="2" t="n">
        <v>52</v>
      </c>
      <c r="I415" s="2" t="n">
        <v>4</v>
      </c>
      <c r="J415" s="2" t="n">
        <f aca="false">F415+G415+H415</f>
        <v>174</v>
      </c>
      <c r="K415" s="3" t="n">
        <f aca="false">J415/D415</f>
        <v>0.0248927038626609</v>
      </c>
    </row>
    <row r="416" customFormat="false" ht="15" hidden="false" customHeight="false" outlineLevel="0" collapsed="false">
      <c r="A416" s="2" t="s">
        <v>308</v>
      </c>
      <c r="B416" s="2" t="s">
        <v>15</v>
      </c>
      <c r="C416" s="2" t="s">
        <v>16</v>
      </c>
      <c r="D416" s="2" t="n">
        <v>8715</v>
      </c>
      <c r="E416" s="2" t="n">
        <v>13825</v>
      </c>
      <c r="F416" s="2" t="n">
        <v>381</v>
      </c>
      <c r="G416" s="2" t="n">
        <v>75</v>
      </c>
      <c r="H416" s="2" t="n">
        <v>138</v>
      </c>
      <c r="I416" s="2" t="n">
        <v>18</v>
      </c>
      <c r="J416" s="2" t="n">
        <f aca="false">F416+G416+H416</f>
        <v>594</v>
      </c>
      <c r="K416" s="3" t="n">
        <f aca="false">J416/D416</f>
        <v>0.06815834767642</v>
      </c>
    </row>
    <row r="417" customFormat="false" ht="15" hidden="false" customHeight="false" outlineLevel="0" collapsed="false">
      <c r="A417" s="2" t="s">
        <v>309</v>
      </c>
      <c r="B417" s="2" t="s">
        <v>22</v>
      </c>
      <c r="C417" s="2" t="s">
        <v>18</v>
      </c>
      <c r="D417" s="2" t="n">
        <v>5214</v>
      </c>
      <c r="E417" s="2" t="n">
        <v>7040</v>
      </c>
      <c r="F417" s="2" t="n">
        <v>227</v>
      </c>
      <c r="G417" s="2" t="n">
        <v>53</v>
      </c>
      <c r="H417" s="2" t="n">
        <v>90</v>
      </c>
      <c r="I417" s="2" t="n">
        <v>15</v>
      </c>
      <c r="J417" s="2" t="n">
        <f aca="false">F417+G417+H417</f>
        <v>370</v>
      </c>
      <c r="K417" s="3" t="n">
        <f aca="false">J417/D417</f>
        <v>0.0709627924817798</v>
      </c>
    </row>
    <row r="418" customFormat="false" ht="15" hidden="false" customHeight="false" outlineLevel="0" collapsed="false">
      <c r="A418" s="2" t="s">
        <v>310</v>
      </c>
      <c r="B418" s="2" t="s">
        <v>15</v>
      </c>
      <c r="C418" s="2" t="s">
        <v>18</v>
      </c>
      <c r="D418" s="2" t="n">
        <v>7785</v>
      </c>
      <c r="E418" s="2" t="n">
        <v>9925</v>
      </c>
      <c r="F418" s="2" t="n">
        <v>101</v>
      </c>
      <c r="G418" s="2" t="n">
        <v>23</v>
      </c>
      <c r="H418" s="2" t="n">
        <v>37</v>
      </c>
      <c r="I418" s="2" t="n">
        <v>5</v>
      </c>
      <c r="J418" s="2" t="n">
        <f aca="false">F418+G418+H418</f>
        <v>161</v>
      </c>
      <c r="K418" s="3" t="n">
        <f aca="false">J418/D418</f>
        <v>0.0206807964033398</v>
      </c>
    </row>
    <row r="419" customFormat="false" ht="15" hidden="false" customHeight="false" outlineLevel="0" collapsed="false">
      <c r="A419" s="2" t="s">
        <v>310</v>
      </c>
      <c r="B419" s="2" t="s">
        <v>12</v>
      </c>
      <c r="C419" s="2" t="s">
        <v>16</v>
      </c>
      <c r="D419" s="2" t="n">
        <v>1204</v>
      </c>
      <c r="E419" s="2" t="n">
        <v>1554</v>
      </c>
      <c r="F419" s="2" t="n">
        <v>28</v>
      </c>
      <c r="G419" s="2" t="n">
        <v>5</v>
      </c>
      <c r="H419" s="2" t="n">
        <v>13</v>
      </c>
      <c r="I419" s="2" t="n">
        <v>3</v>
      </c>
      <c r="J419" s="2" t="n">
        <f aca="false">F419+G419+H419</f>
        <v>46</v>
      </c>
      <c r="K419" s="3" t="n">
        <f aca="false">J419/D419</f>
        <v>0.0382059800664452</v>
      </c>
    </row>
    <row r="420" customFormat="false" ht="15" hidden="false" customHeight="false" outlineLevel="0" collapsed="false">
      <c r="A420" s="2" t="s">
        <v>311</v>
      </c>
      <c r="B420" s="2" t="s">
        <v>15</v>
      </c>
      <c r="C420" s="2" t="s">
        <v>16</v>
      </c>
      <c r="D420" s="2" t="n">
        <v>6795</v>
      </c>
      <c r="E420" s="2" t="n">
        <v>7860</v>
      </c>
      <c r="F420" s="2" t="n">
        <v>335</v>
      </c>
      <c r="G420" s="2" t="n">
        <v>79</v>
      </c>
      <c r="H420" s="2" t="n">
        <v>127</v>
      </c>
      <c r="I420" s="2" t="n">
        <v>23</v>
      </c>
      <c r="J420" s="2" t="n">
        <f aca="false">F420+G420+H420</f>
        <v>541</v>
      </c>
      <c r="K420" s="3" t="n">
        <f aca="false">J420/D420</f>
        <v>0.079617365710081</v>
      </c>
    </row>
    <row r="421" customFormat="false" ht="15" hidden="false" customHeight="false" outlineLevel="0" collapsed="false">
      <c r="A421" s="2" t="s">
        <v>312</v>
      </c>
      <c r="B421" s="2" t="s">
        <v>15</v>
      </c>
      <c r="C421" s="2" t="s">
        <v>20</v>
      </c>
      <c r="D421" s="2" t="n">
        <v>7493</v>
      </c>
      <c r="E421" s="2" t="n">
        <v>9177</v>
      </c>
      <c r="F421" s="2" t="n">
        <v>364</v>
      </c>
      <c r="G421" s="2" t="n">
        <v>70</v>
      </c>
      <c r="H421" s="2" t="n">
        <v>64</v>
      </c>
      <c r="I421" s="2" t="n">
        <v>15</v>
      </c>
      <c r="J421" s="2" t="n">
        <f aca="false">F421+G421+H421</f>
        <v>498</v>
      </c>
      <c r="K421" s="3" t="n">
        <f aca="false">J421/D421</f>
        <v>0.0664620312291472</v>
      </c>
    </row>
    <row r="422" customFormat="false" ht="15" hidden="false" customHeight="false" outlineLevel="0" collapsed="false">
      <c r="A422" s="2" t="s">
        <v>312</v>
      </c>
      <c r="B422" s="2" t="s">
        <v>12</v>
      </c>
      <c r="C422" s="2" t="s">
        <v>13</v>
      </c>
      <c r="D422" s="2" t="n">
        <v>2465</v>
      </c>
      <c r="E422" s="2" t="n">
        <v>3078</v>
      </c>
      <c r="F422" s="2" t="n">
        <v>76</v>
      </c>
      <c r="G422" s="2" t="n">
        <v>13</v>
      </c>
      <c r="H422" s="2" t="n">
        <v>27</v>
      </c>
      <c r="I422" s="2" t="n">
        <v>6</v>
      </c>
      <c r="J422" s="2" t="n">
        <f aca="false">F422+G422+H422</f>
        <v>116</v>
      </c>
      <c r="K422" s="3" t="n">
        <f aca="false">J422/D422</f>
        <v>0.0470588235294118</v>
      </c>
    </row>
    <row r="423" customFormat="false" ht="15" hidden="false" customHeight="false" outlineLevel="0" collapsed="false">
      <c r="A423" s="2" t="s">
        <v>313</v>
      </c>
      <c r="B423" s="2" t="s">
        <v>26</v>
      </c>
      <c r="C423" s="2" t="s">
        <v>18</v>
      </c>
      <c r="D423" s="2" t="n">
        <v>11659</v>
      </c>
      <c r="E423" s="2" t="n">
        <v>14887</v>
      </c>
      <c r="F423" s="2" t="n">
        <v>417</v>
      </c>
      <c r="G423" s="2" t="n">
        <v>38</v>
      </c>
      <c r="H423" s="2" t="n">
        <v>164</v>
      </c>
      <c r="I423" s="2" t="n">
        <v>33</v>
      </c>
      <c r="J423" s="2" t="n">
        <f aca="false">F423+G423+H423</f>
        <v>619</v>
      </c>
      <c r="K423" s="3" t="n">
        <f aca="false">J423/D423</f>
        <v>0.0530920319066815</v>
      </c>
    </row>
    <row r="424" customFormat="false" ht="15" hidden="false" customHeight="false" outlineLevel="0" collapsed="false">
      <c r="A424" s="2" t="s">
        <v>313</v>
      </c>
      <c r="B424" s="2" t="s">
        <v>22</v>
      </c>
      <c r="C424" s="2" t="s">
        <v>23</v>
      </c>
      <c r="D424" s="2" t="n">
        <v>5335</v>
      </c>
      <c r="E424" s="2" t="n">
        <v>6553</v>
      </c>
      <c r="F424" s="2" t="n">
        <v>129</v>
      </c>
      <c r="G424" s="2" t="n">
        <v>12</v>
      </c>
      <c r="H424" s="2" t="n">
        <v>52</v>
      </c>
      <c r="I424" s="2" t="n">
        <v>5</v>
      </c>
      <c r="J424" s="2" t="n">
        <f aca="false">F424+G424+H424</f>
        <v>193</v>
      </c>
      <c r="K424" s="3" t="n">
        <f aca="false">J424/D424</f>
        <v>0.0361761949390815</v>
      </c>
    </row>
    <row r="425" customFormat="false" ht="15" hidden="false" customHeight="false" outlineLevel="0" collapsed="false">
      <c r="A425" s="2" t="s">
        <v>314</v>
      </c>
      <c r="B425" s="2" t="s">
        <v>26</v>
      </c>
      <c r="C425" s="2" t="s">
        <v>16</v>
      </c>
      <c r="D425" s="2" t="n">
        <v>12067</v>
      </c>
      <c r="E425" s="2" t="n">
        <v>14188</v>
      </c>
      <c r="F425" s="2" t="n">
        <v>452</v>
      </c>
      <c r="G425" s="2" t="n">
        <v>48</v>
      </c>
      <c r="H425" s="2" t="n">
        <v>172</v>
      </c>
      <c r="I425" s="2" t="n">
        <v>38</v>
      </c>
      <c r="J425" s="2" t="n">
        <f aca="false">F425+G425+H425</f>
        <v>672</v>
      </c>
      <c r="K425" s="3" t="n">
        <f aca="false">J425/D425</f>
        <v>0.0556890693627248</v>
      </c>
    </row>
    <row r="426" customFormat="false" ht="15" hidden="false" customHeight="false" outlineLevel="0" collapsed="false">
      <c r="A426" s="2" t="s">
        <v>315</v>
      </c>
      <c r="B426" s="2" t="s">
        <v>22</v>
      </c>
      <c r="C426" s="2" t="s">
        <v>13</v>
      </c>
      <c r="D426" s="2" t="n">
        <v>4175</v>
      </c>
      <c r="E426" s="2" t="n">
        <v>6426</v>
      </c>
      <c r="F426" s="2" t="n">
        <v>89</v>
      </c>
      <c r="G426" s="2" t="n">
        <v>11</v>
      </c>
      <c r="H426" s="2" t="n">
        <v>46</v>
      </c>
      <c r="I426" s="2" t="n">
        <v>11</v>
      </c>
      <c r="J426" s="2" t="n">
        <f aca="false">F426+G426+H426</f>
        <v>146</v>
      </c>
      <c r="K426" s="3" t="n">
        <f aca="false">J426/D426</f>
        <v>0.0349700598802395</v>
      </c>
    </row>
    <row r="427" customFormat="false" ht="15" hidden="false" customHeight="false" outlineLevel="0" collapsed="false">
      <c r="A427" s="2" t="s">
        <v>316</v>
      </c>
      <c r="B427" s="2" t="s">
        <v>15</v>
      </c>
      <c r="C427" s="2" t="s">
        <v>23</v>
      </c>
      <c r="D427" s="2" t="n">
        <v>8074</v>
      </c>
      <c r="E427" s="2" t="n">
        <v>11578</v>
      </c>
      <c r="F427" s="2" t="n">
        <v>139</v>
      </c>
      <c r="G427" s="2" t="n">
        <v>28</v>
      </c>
      <c r="H427" s="2" t="n">
        <v>50</v>
      </c>
      <c r="I427" s="2" t="n">
        <v>5</v>
      </c>
      <c r="J427" s="2" t="n">
        <f aca="false">F427+G427+H427</f>
        <v>217</v>
      </c>
      <c r="K427" s="3" t="n">
        <f aca="false">J427/D427</f>
        <v>0.026876393361407</v>
      </c>
    </row>
    <row r="428" customFormat="false" ht="15" hidden="false" customHeight="false" outlineLevel="0" collapsed="false">
      <c r="A428" s="2" t="s">
        <v>316</v>
      </c>
      <c r="B428" s="2" t="s">
        <v>12</v>
      </c>
      <c r="C428" s="2" t="s">
        <v>23</v>
      </c>
      <c r="D428" s="2" t="n">
        <v>1856</v>
      </c>
      <c r="E428" s="2" t="n">
        <v>2143</v>
      </c>
      <c r="F428" s="2" t="n">
        <v>83</v>
      </c>
      <c r="G428" s="2" t="n">
        <v>6</v>
      </c>
      <c r="H428" s="2" t="n">
        <v>33</v>
      </c>
      <c r="I428" s="2" t="n">
        <v>6</v>
      </c>
      <c r="J428" s="2" t="n">
        <f aca="false">F428+G428+H428</f>
        <v>122</v>
      </c>
      <c r="K428" s="3" t="n">
        <f aca="false">J428/D428</f>
        <v>0.0657327586206897</v>
      </c>
    </row>
    <row r="429" customFormat="false" ht="15" hidden="false" customHeight="false" outlineLevel="0" collapsed="false">
      <c r="A429" s="2" t="s">
        <v>317</v>
      </c>
      <c r="B429" s="2" t="s">
        <v>22</v>
      </c>
      <c r="C429" s="2" t="s">
        <v>16</v>
      </c>
      <c r="D429" s="2" t="n">
        <v>4223</v>
      </c>
      <c r="E429" s="2" t="n">
        <v>5121</v>
      </c>
      <c r="F429" s="2" t="n">
        <v>126</v>
      </c>
      <c r="G429" s="2" t="n">
        <v>27</v>
      </c>
      <c r="H429" s="2" t="n">
        <v>39</v>
      </c>
      <c r="I429" s="2" t="n">
        <v>8</v>
      </c>
      <c r="J429" s="2" t="n">
        <f aca="false">F429+G429+H429</f>
        <v>192</v>
      </c>
      <c r="K429" s="3" t="n">
        <f aca="false">J429/D429</f>
        <v>0.0454653090220223</v>
      </c>
    </row>
    <row r="430" customFormat="false" ht="15" hidden="false" customHeight="false" outlineLevel="0" collapsed="false">
      <c r="A430" s="2" t="s">
        <v>318</v>
      </c>
      <c r="B430" s="2" t="s">
        <v>12</v>
      </c>
      <c r="C430" s="2" t="s">
        <v>18</v>
      </c>
      <c r="D430" s="2" t="n">
        <v>2330</v>
      </c>
      <c r="E430" s="2" t="n">
        <v>3160</v>
      </c>
      <c r="F430" s="2" t="n">
        <v>110</v>
      </c>
      <c r="G430" s="2" t="n">
        <v>22</v>
      </c>
      <c r="H430" s="2" t="n">
        <v>33</v>
      </c>
      <c r="I430" s="2" t="n">
        <v>6</v>
      </c>
      <c r="J430" s="2" t="n">
        <f aca="false">F430+G430+H430</f>
        <v>165</v>
      </c>
      <c r="K430" s="3" t="n">
        <f aca="false">J430/D430</f>
        <v>0.0708154506437768</v>
      </c>
    </row>
    <row r="431" customFormat="false" ht="15" hidden="false" customHeight="false" outlineLevel="0" collapsed="false">
      <c r="A431" s="2" t="s">
        <v>318</v>
      </c>
      <c r="B431" s="2" t="s">
        <v>26</v>
      </c>
      <c r="C431" s="2" t="s">
        <v>18</v>
      </c>
      <c r="D431" s="2" t="n">
        <v>8942</v>
      </c>
      <c r="E431" s="2" t="n">
        <v>11508</v>
      </c>
      <c r="F431" s="2" t="n">
        <v>236</v>
      </c>
      <c r="G431" s="2" t="n">
        <v>21</v>
      </c>
      <c r="H431" s="2" t="n">
        <v>118</v>
      </c>
      <c r="I431" s="2" t="n">
        <v>8</v>
      </c>
      <c r="J431" s="2" t="n">
        <f aca="false">F431+G431+H431</f>
        <v>375</v>
      </c>
      <c r="K431" s="3" t="n">
        <f aca="false">J431/D431</f>
        <v>0.0419369268619996</v>
      </c>
    </row>
    <row r="432" customFormat="false" ht="15" hidden="false" customHeight="false" outlineLevel="0" collapsed="false">
      <c r="A432" s="2" t="s">
        <v>319</v>
      </c>
      <c r="B432" s="2" t="s">
        <v>22</v>
      </c>
      <c r="C432" s="2" t="s">
        <v>13</v>
      </c>
      <c r="D432" s="2" t="n">
        <v>2411</v>
      </c>
      <c r="E432" s="2" t="n">
        <v>3802</v>
      </c>
      <c r="F432" s="2" t="n">
        <v>98</v>
      </c>
      <c r="G432" s="2" t="n">
        <v>15</v>
      </c>
      <c r="H432" s="2" t="n">
        <v>18</v>
      </c>
      <c r="I432" s="2" t="n">
        <v>4</v>
      </c>
      <c r="J432" s="2" t="n">
        <f aca="false">F432+G432+H432</f>
        <v>131</v>
      </c>
      <c r="K432" s="3" t="n">
        <f aca="false">J432/D432</f>
        <v>0.0543343011198673</v>
      </c>
    </row>
    <row r="433" customFormat="false" ht="15" hidden="false" customHeight="false" outlineLevel="0" collapsed="false">
      <c r="A433" s="2" t="s">
        <v>320</v>
      </c>
      <c r="B433" s="2" t="s">
        <v>22</v>
      </c>
      <c r="C433" s="2" t="s">
        <v>18</v>
      </c>
      <c r="D433" s="2" t="n">
        <v>4366</v>
      </c>
      <c r="E433" s="2" t="n">
        <v>6936</v>
      </c>
      <c r="F433" s="2" t="n">
        <v>192</v>
      </c>
      <c r="G433" s="2" t="n">
        <v>22</v>
      </c>
      <c r="H433" s="2" t="n">
        <v>104</v>
      </c>
      <c r="I433" s="2" t="n">
        <v>14</v>
      </c>
      <c r="J433" s="2" t="n">
        <f aca="false">F433+G433+H433</f>
        <v>318</v>
      </c>
      <c r="K433" s="3" t="n">
        <f aca="false">J433/D433</f>
        <v>0.0728355474118186</v>
      </c>
    </row>
    <row r="434" customFormat="false" ht="15" hidden="false" customHeight="false" outlineLevel="0" collapsed="false">
      <c r="A434" s="2" t="s">
        <v>320</v>
      </c>
      <c r="B434" s="2" t="s">
        <v>12</v>
      </c>
      <c r="C434" s="2" t="s">
        <v>16</v>
      </c>
      <c r="D434" s="2" t="n">
        <v>2029</v>
      </c>
      <c r="E434" s="2" t="n">
        <v>3089</v>
      </c>
      <c r="F434" s="2" t="n">
        <v>28</v>
      </c>
      <c r="G434" s="2" t="n">
        <v>3</v>
      </c>
      <c r="H434" s="2" t="n">
        <v>10</v>
      </c>
      <c r="I434" s="2" t="n">
        <v>2</v>
      </c>
      <c r="J434" s="2" t="n">
        <f aca="false">F434+G434+H434</f>
        <v>41</v>
      </c>
      <c r="K434" s="3" t="n">
        <f aca="false">J434/D434</f>
        <v>0.0202069985214391</v>
      </c>
    </row>
    <row r="435" customFormat="false" ht="15" hidden="false" customHeight="false" outlineLevel="0" collapsed="false">
      <c r="A435" s="2" t="s">
        <v>320</v>
      </c>
      <c r="B435" s="2" t="s">
        <v>19</v>
      </c>
      <c r="C435" s="2" t="s">
        <v>23</v>
      </c>
      <c r="D435" s="2" t="n">
        <v>3274</v>
      </c>
      <c r="E435" s="2" t="n">
        <v>3968</v>
      </c>
      <c r="F435" s="2" t="n">
        <v>75</v>
      </c>
      <c r="G435" s="2" t="n">
        <v>18</v>
      </c>
      <c r="H435" s="2" t="n">
        <v>28</v>
      </c>
      <c r="I435" s="2" t="n">
        <v>4</v>
      </c>
      <c r="J435" s="2" t="n">
        <f aca="false">F435+G435+H435</f>
        <v>121</v>
      </c>
      <c r="K435" s="3" t="n">
        <f aca="false">J435/D435</f>
        <v>0.0369578497251069</v>
      </c>
    </row>
    <row r="436" customFormat="false" ht="15" hidden="false" customHeight="false" outlineLevel="0" collapsed="false">
      <c r="A436" s="2" t="s">
        <v>321</v>
      </c>
      <c r="B436" s="2" t="s">
        <v>19</v>
      </c>
      <c r="C436" s="2" t="s">
        <v>13</v>
      </c>
      <c r="D436" s="2" t="n">
        <v>3419</v>
      </c>
      <c r="E436" s="2" t="n">
        <v>4055</v>
      </c>
      <c r="F436" s="2" t="n">
        <v>190</v>
      </c>
      <c r="G436" s="2" t="n">
        <v>20</v>
      </c>
      <c r="H436" s="2" t="n">
        <v>54</v>
      </c>
      <c r="I436" s="2" t="n">
        <v>14</v>
      </c>
      <c r="J436" s="2" t="n">
        <f aca="false">F436+G436+H436</f>
        <v>264</v>
      </c>
      <c r="K436" s="3" t="n">
        <f aca="false">J436/D436</f>
        <v>0.0772155601052939</v>
      </c>
    </row>
    <row r="437" customFormat="false" ht="15" hidden="false" customHeight="false" outlineLevel="0" collapsed="false">
      <c r="A437" s="2" t="s">
        <v>322</v>
      </c>
      <c r="B437" s="2" t="s">
        <v>12</v>
      </c>
      <c r="C437" s="2" t="s">
        <v>23</v>
      </c>
      <c r="D437" s="2" t="n">
        <v>3182</v>
      </c>
      <c r="E437" s="2" t="n">
        <v>3795</v>
      </c>
      <c r="F437" s="2" t="n">
        <v>116</v>
      </c>
      <c r="G437" s="2" t="n">
        <v>24</v>
      </c>
      <c r="H437" s="2" t="n">
        <v>21</v>
      </c>
      <c r="I437" s="2" t="n">
        <v>12</v>
      </c>
      <c r="J437" s="2" t="n">
        <f aca="false">F437+G437+H437</f>
        <v>161</v>
      </c>
      <c r="K437" s="3" t="n">
        <f aca="false">J437/D437</f>
        <v>0.0505971087366436</v>
      </c>
    </row>
    <row r="438" customFormat="false" ht="15" hidden="false" customHeight="false" outlineLevel="0" collapsed="false">
      <c r="A438" s="2" t="s">
        <v>323</v>
      </c>
      <c r="B438" s="2" t="s">
        <v>15</v>
      </c>
      <c r="C438" s="2" t="s">
        <v>18</v>
      </c>
      <c r="D438" s="2" t="n">
        <v>4210</v>
      </c>
      <c r="E438" s="2" t="n">
        <v>6450</v>
      </c>
      <c r="F438" s="2" t="n">
        <v>225</v>
      </c>
      <c r="G438" s="2" t="n">
        <v>33</v>
      </c>
      <c r="H438" s="2" t="n">
        <v>64</v>
      </c>
      <c r="I438" s="2" t="n">
        <v>9</v>
      </c>
      <c r="J438" s="2" t="n">
        <f aca="false">F438+G438+H438</f>
        <v>322</v>
      </c>
      <c r="K438" s="3" t="n">
        <f aca="false">J438/D438</f>
        <v>0.0764845605700713</v>
      </c>
    </row>
    <row r="439" customFormat="false" ht="15" hidden="false" customHeight="false" outlineLevel="0" collapsed="false">
      <c r="A439" s="2" t="s">
        <v>323</v>
      </c>
      <c r="B439" s="2" t="s">
        <v>15</v>
      </c>
      <c r="C439" s="2" t="s">
        <v>16</v>
      </c>
      <c r="D439" s="2" t="n">
        <v>8150</v>
      </c>
      <c r="E439" s="2" t="n">
        <v>11523</v>
      </c>
      <c r="F439" s="2" t="n">
        <v>456</v>
      </c>
      <c r="G439" s="2" t="n">
        <v>91</v>
      </c>
      <c r="H439" s="2" t="n">
        <v>73</v>
      </c>
      <c r="I439" s="2" t="n">
        <v>20</v>
      </c>
      <c r="J439" s="2" t="n">
        <f aca="false">F439+G439+H439</f>
        <v>620</v>
      </c>
      <c r="K439" s="3" t="n">
        <f aca="false">J439/D439</f>
        <v>0.0760736196319019</v>
      </c>
    </row>
    <row r="440" customFormat="false" ht="15" hidden="false" customHeight="false" outlineLevel="0" collapsed="false">
      <c r="A440" s="2" t="s">
        <v>324</v>
      </c>
      <c r="B440" s="2" t="s">
        <v>19</v>
      </c>
      <c r="C440" s="2" t="s">
        <v>18</v>
      </c>
      <c r="D440" s="2" t="n">
        <v>4505</v>
      </c>
      <c r="E440" s="2" t="n">
        <v>6485</v>
      </c>
      <c r="F440" s="2" t="n">
        <v>164</v>
      </c>
      <c r="G440" s="2" t="n">
        <v>17</v>
      </c>
      <c r="H440" s="2" t="n">
        <v>39</v>
      </c>
      <c r="I440" s="2" t="n">
        <v>15</v>
      </c>
      <c r="J440" s="2" t="n">
        <f aca="false">F440+G440+H440</f>
        <v>220</v>
      </c>
      <c r="K440" s="3" t="n">
        <f aca="false">J440/D440</f>
        <v>0.048834628190899</v>
      </c>
    </row>
    <row r="441" customFormat="false" ht="15" hidden="false" customHeight="false" outlineLevel="0" collapsed="false">
      <c r="A441" s="2" t="s">
        <v>324</v>
      </c>
      <c r="B441" s="2" t="s">
        <v>12</v>
      </c>
      <c r="C441" s="2" t="s">
        <v>13</v>
      </c>
      <c r="D441" s="2" t="n">
        <v>778</v>
      </c>
      <c r="E441" s="2" t="n">
        <v>1113</v>
      </c>
      <c r="F441" s="2" t="n">
        <v>29</v>
      </c>
      <c r="G441" s="2" t="n">
        <v>5</v>
      </c>
      <c r="H441" s="2" t="n">
        <v>7</v>
      </c>
      <c r="I441" s="2" t="n">
        <v>1</v>
      </c>
      <c r="J441" s="2" t="n">
        <f aca="false">F441+G441+H441</f>
        <v>41</v>
      </c>
      <c r="K441" s="3" t="n">
        <f aca="false">J441/D441</f>
        <v>0.0526992287917738</v>
      </c>
    </row>
    <row r="442" customFormat="false" ht="15" hidden="false" customHeight="false" outlineLevel="0" collapsed="false">
      <c r="A442" s="2" t="s">
        <v>325</v>
      </c>
      <c r="B442" s="2" t="s">
        <v>12</v>
      </c>
      <c r="C442" s="2" t="s">
        <v>18</v>
      </c>
      <c r="D442" s="2" t="n">
        <v>1682</v>
      </c>
      <c r="E442" s="2" t="n">
        <v>2669</v>
      </c>
      <c r="F442" s="2" t="n">
        <v>91</v>
      </c>
      <c r="G442" s="2" t="n">
        <v>22</v>
      </c>
      <c r="H442" s="2" t="n">
        <v>36</v>
      </c>
      <c r="I442" s="2" t="n">
        <v>8</v>
      </c>
      <c r="J442" s="2" t="n">
        <f aca="false">F442+G442+H442</f>
        <v>149</v>
      </c>
      <c r="K442" s="3" t="n">
        <f aca="false">J442/D442</f>
        <v>0.0885850178359096</v>
      </c>
    </row>
    <row r="443" customFormat="false" ht="15" hidden="false" customHeight="false" outlineLevel="0" collapsed="false">
      <c r="A443" s="2" t="s">
        <v>325</v>
      </c>
      <c r="B443" s="2" t="s">
        <v>22</v>
      </c>
      <c r="C443" s="2" t="s">
        <v>18</v>
      </c>
      <c r="D443" s="2" t="n">
        <v>4459</v>
      </c>
      <c r="E443" s="2" t="n">
        <v>6934</v>
      </c>
      <c r="F443" s="2" t="n">
        <v>115</v>
      </c>
      <c r="G443" s="2" t="n">
        <v>14</v>
      </c>
      <c r="H443" s="2" t="n">
        <v>33</v>
      </c>
      <c r="I443" s="2" t="n">
        <v>10</v>
      </c>
      <c r="J443" s="2" t="n">
        <f aca="false">F443+G443+H443</f>
        <v>162</v>
      </c>
      <c r="K443" s="3" t="n">
        <f aca="false">J443/D443</f>
        <v>0.0363310159228527</v>
      </c>
    </row>
    <row r="444" customFormat="false" ht="15" hidden="false" customHeight="false" outlineLevel="0" collapsed="false">
      <c r="A444" s="2" t="s">
        <v>326</v>
      </c>
      <c r="B444" s="2" t="s">
        <v>15</v>
      </c>
      <c r="C444" s="2" t="s">
        <v>20</v>
      </c>
      <c r="D444" s="2" t="n">
        <v>8893</v>
      </c>
      <c r="E444" s="2" t="n">
        <v>13767</v>
      </c>
      <c r="F444" s="2" t="n">
        <v>391</v>
      </c>
      <c r="G444" s="2" t="n">
        <v>54</v>
      </c>
      <c r="H444" s="2" t="n">
        <v>116</v>
      </c>
      <c r="I444" s="2" t="n">
        <v>27</v>
      </c>
      <c r="J444" s="2" t="n">
        <f aca="false">F444+G444+H444</f>
        <v>561</v>
      </c>
      <c r="K444" s="3" t="n">
        <f aca="false">J444/D444</f>
        <v>0.0630833239626673</v>
      </c>
    </row>
    <row r="445" customFormat="false" ht="15" hidden="false" customHeight="false" outlineLevel="0" collapsed="false">
      <c r="A445" s="2" t="s">
        <v>327</v>
      </c>
      <c r="B445" s="2" t="s">
        <v>22</v>
      </c>
      <c r="C445" s="2" t="s">
        <v>23</v>
      </c>
      <c r="D445" s="2" t="n">
        <v>5321</v>
      </c>
      <c r="E445" s="2" t="n">
        <v>6872</v>
      </c>
      <c r="F445" s="2" t="n">
        <v>288</v>
      </c>
      <c r="G445" s="2" t="n">
        <v>48</v>
      </c>
      <c r="H445" s="2" t="n">
        <v>73</v>
      </c>
      <c r="I445" s="2" t="n">
        <v>27</v>
      </c>
      <c r="J445" s="2" t="n">
        <f aca="false">F445+G445+H445</f>
        <v>409</v>
      </c>
      <c r="K445" s="3" t="n">
        <f aca="false">J445/D445</f>
        <v>0.0768652508926894</v>
      </c>
    </row>
    <row r="446" customFormat="false" ht="15" hidden="false" customHeight="false" outlineLevel="0" collapsed="false">
      <c r="A446" s="2" t="s">
        <v>328</v>
      </c>
      <c r="B446" s="2" t="s">
        <v>19</v>
      </c>
      <c r="C446" s="2" t="s">
        <v>20</v>
      </c>
      <c r="D446" s="2" t="n">
        <v>3638</v>
      </c>
      <c r="E446" s="2" t="n">
        <v>5223</v>
      </c>
      <c r="F446" s="2" t="n">
        <v>188</v>
      </c>
      <c r="G446" s="2" t="n">
        <v>18</v>
      </c>
      <c r="H446" s="2" t="n">
        <v>46</v>
      </c>
      <c r="I446" s="2" t="n">
        <v>17</v>
      </c>
      <c r="J446" s="2" t="n">
        <f aca="false">F446+G446+H446</f>
        <v>252</v>
      </c>
      <c r="K446" s="3" t="n">
        <f aca="false">J446/D446</f>
        <v>0.0692688290269379</v>
      </c>
    </row>
    <row r="447" customFormat="false" ht="15" hidden="false" customHeight="false" outlineLevel="0" collapsed="false">
      <c r="A447" s="2" t="s">
        <v>329</v>
      </c>
      <c r="B447" s="2" t="s">
        <v>26</v>
      </c>
      <c r="C447" s="2" t="s">
        <v>16</v>
      </c>
      <c r="D447" s="2" t="n">
        <v>5490</v>
      </c>
      <c r="E447" s="2" t="n">
        <v>7437</v>
      </c>
      <c r="F447" s="2" t="n">
        <v>262</v>
      </c>
      <c r="G447" s="2" t="n">
        <v>20</v>
      </c>
      <c r="H447" s="2" t="n">
        <v>84</v>
      </c>
      <c r="I447" s="2" t="n">
        <v>27</v>
      </c>
      <c r="J447" s="2" t="n">
        <f aca="false">F447+G447+H447</f>
        <v>366</v>
      </c>
      <c r="K447" s="3" t="n">
        <f aca="false">J447/D447</f>
        <v>0.0666666666666667</v>
      </c>
    </row>
    <row r="448" customFormat="false" ht="15" hidden="false" customHeight="false" outlineLevel="0" collapsed="false">
      <c r="A448" s="2" t="s">
        <v>330</v>
      </c>
      <c r="B448" s="2" t="s">
        <v>15</v>
      </c>
      <c r="C448" s="2" t="s">
        <v>13</v>
      </c>
      <c r="D448" s="2" t="n">
        <v>7274</v>
      </c>
      <c r="E448" s="2" t="n">
        <v>9180</v>
      </c>
      <c r="F448" s="2" t="n">
        <v>147</v>
      </c>
      <c r="G448" s="2" t="n">
        <v>33</v>
      </c>
      <c r="H448" s="2" t="n">
        <v>54</v>
      </c>
      <c r="I448" s="2" t="n">
        <v>16</v>
      </c>
      <c r="J448" s="2" t="n">
        <f aca="false">F448+G448+H448</f>
        <v>234</v>
      </c>
      <c r="K448" s="3" t="n">
        <f aca="false">J448/D448</f>
        <v>0.032169370360187</v>
      </c>
    </row>
    <row r="449" customFormat="false" ht="15" hidden="false" customHeight="false" outlineLevel="0" collapsed="false">
      <c r="A449" s="2" t="s">
        <v>331</v>
      </c>
      <c r="B449" s="2" t="s">
        <v>15</v>
      </c>
      <c r="C449" s="2" t="s">
        <v>13</v>
      </c>
      <c r="D449" s="2" t="n">
        <v>5899</v>
      </c>
      <c r="E449" s="2" t="n">
        <v>9359</v>
      </c>
      <c r="F449" s="2" t="n">
        <v>116</v>
      </c>
      <c r="G449" s="2" t="n">
        <v>18</v>
      </c>
      <c r="H449" s="2" t="n">
        <v>45</v>
      </c>
      <c r="I449" s="2" t="n">
        <v>7</v>
      </c>
      <c r="J449" s="2" t="n">
        <f aca="false">F449+G449+H449</f>
        <v>179</v>
      </c>
      <c r="K449" s="3" t="n">
        <f aca="false">J449/D449</f>
        <v>0.0303441261230717</v>
      </c>
    </row>
    <row r="450" customFormat="false" ht="15" hidden="false" customHeight="false" outlineLevel="0" collapsed="false">
      <c r="A450" s="2" t="s">
        <v>332</v>
      </c>
      <c r="B450" s="2" t="s">
        <v>15</v>
      </c>
      <c r="C450" s="2" t="s">
        <v>13</v>
      </c>
      <c r="D450" s="2" t="n">
        <v>8414</v>
      </c>
      <c r="E450" s="2" t="n">
        <v>10682</v>
      </c>
      <c r="F450" s="2" t="n">
        <v>125</v>
      </c>
      <c r="G450" s="2" t="n">
        <v>30</v>
      </c>
      <c r="H450" s="2" t="n">
        <v>51</v>
      </c>
      <c r="I450" s="2" t="n">
        <v>6</v>
      </c>
      <c r="J450" s="2" t="n">
        <f aca="false">F450+G450+H450</f>
        <v>206</v>
      </c>
      <c r="K450" s="3" t="n">
        <f aca="false">J450/D450</f>
        <v>0.0244830045162824</v>
      </c>
    </row>
    <row r="451" customFormat="false" ht="15" hidden="false" customHeight="false" outlineLevel="0" collapsed="false">
      <c r="A451" s="2" t="s">
        <v>333</v>
      </c>
      <c r="B451" s="2" t="s">
        <v>15</v>
      </c>
      <c r="C451" s="2" t="s">
        <v>16</v>
      </c>
      <c r="D451" s="2" t="n">
        <v>5936</v>
      </c>
      <c r="E451" s="2" t="n">
        <v>9308</v>
      </c>
      <c r="F451" s="2" t="n">
        <v>214</v>
      </c>
      <c r="G451" s="2" t="n">
        <v>23</v>
      </c>
      <c r="H451" s="2" t="n">
        <v>115</v>
      </c>
      <c r="I451" s="2" t="n">
        <v>22</v>
      </c>
      <c r="J451" s="2" t="n">
        <f aca="false">F451+G451+H451</f>
        <v>352</v>
      </c>
      <c r="K451" s="3" t="n">
        <f aca="false">J451/D451</f>
        <v>0.0592991913746631</v>
      </c>
    </row>
    <row r="452" customFormat="false" ht="15" hidden="false" customHeight="false" outlineLevel="0" collapsed="false">
      <c r="A452" s="2" t="s">
        <v>334</v>
      </c>
      <c r="B452" s="2" t="s">
        <v>15</v>
      </c>
      <c r="C452" s="2" t="s">
        <v>13</v>
      </c>
      <c r="D452" s="2" t="n">
        <v>7091</v>
      </c>
      <c r="E452" s="2" t="n">
        <v>10025</v>
      </c>
      <c r="F452" s="2" t="n">
        <v>167</v>
      </c>
      <c r="G452" s="2" t="n">
        <v>31</v>
      </c>
      <c r="H452" s="2" t="n">
        <v>39</v>
      </c>
      <c r="I452" s="2" t="n">
        <v>16</v>
      </c>
      <c r="J452" s="2" t="n">
        <f aca="false">F452+G452+H452</f>
        <v>237</v>
      </c>
      <c r="K452" s="3" t="n">
        <f aca="false">J452/D452</f>
        <v>0.0334226484275843</v>
      </c>
    </row>
    <row r="453" customFormat="false" ht="15" hidden="false" customHeight="false" outlineLevel="0" collapsed="false">
      <c r="A453" s="2" t="s">
        <v>334</v>
      </c>
      <c r="B453" s="2" t="s">
        <v>15</v>
      </c>
      <c r="C453" s="2" t="s">
        <v>13</v>
      </c>
      <c r="D453" s="2" t="n">
        <v>5758</v>
      </c>
      <c r="E453" s="2" t="n">
        <v>8759</v>
      </c>
      <c r="F453" s="2" t="n">
        <v>203</v>
      </c>
      <c r="G453" s="2" t="n">
        <v>16</v>
      </c>
      <c r="H453" s="2" t="n">
        <v>86</v>
      </c>
      <c r="I453" s="2" t="n">
        <v>23</v>
      </c>
      <c r="J453" s="2" t="n">
        <f aca="false">F453+G453+H453</f>
        <v>305</v>
      </c>
      <c r="K453" s="3" t="n">
        <f aca="false">J453/D453</f>
        <v>0.0529697811740188</v>
      </c>
    </row>
    <row r="454" customFormat="false" ht="15" hidden="false" customHeight="false" outlineLevel="0" collapsed="false">
      <c r="A454" s="2" t="s">
        <v>335</v>
      </c>
      <c r="B454" s="2" t="s">
        <v>22</v>
      </c>
      <c r="C454" s="2" t="s">
        <v>20</v>
      </c>
      <c r="D454" s="2" t="n">
        <v>2403</v>
      </c>
      <c r="E454" s="2" t="n">
        <v>3122</v>
      </c>
      <c r="F454" s="2" t="n">
        <v>37</v>
      </c>
      <c r="G454" s="2" t="n">
        <v>3</v>
      </c>
      <c r="H454" s="2" t="n">
        <v>18</v>
      </c>
      <c r="I454" s="2" t="n">
        <v>3</v>
      </c>
      <c r="J454" s="2" t="n">
        <f aca="false">F454+G454+H454</f>
        <v>58</v>
      </c>
      <c r="K454" s="3" t="n">
        <f aca="false">J454/D454</f>
        <v>0.0241364960466084</v>
      </c>
    </row>
    <row r="455" customFormat="false" ht="15" hidden="false" customHeight="false" outlineLevel="0" collapsed="false">
      <c r="A455" s="2" t="s">
        <v>335</v>
      </c>
      <c r="B455" s="2" t="s">
        <v>15</v>
      </c>
      <c r="C455" s="2" t="s">
        <v>23</v>
      </c>
      <c r="D455" s="2" t="n">
        <v>6730</v>
      </c>
      <c r="E455" s="2" t="n">
        <v>9601</v>
      </c>
      <c r="F455" s="2" t="n">
        <v>353</v>
      </c>
      <c r="G455" s="2" t="n">
        <v>45</v>
      </c>
      <c r="H455" s="2" t="n">
        <v>161</v>
      </c>
      <c r="I455" s="2" t="n">
        <v>33</v>
      </c>
      <c r="J455" s="2" t="n">
        <f aca="false">F455+G455+H455</f>
        <v>559</v>
      </c>
      <c r="K455" s="3" t="n">
        <f aca="false">J455/D455</f>
        <v>0.0830609212481426</v>
      </c>
    </row>
    <row r="456" customFormat="false" ht="15" hidden="false" customHeight="false" outlineLevel="0" collapsed="false">
      <c r="A456" s="2" t="s">
        <v>336</v>
      </c>
      <c r="B456" s="2" t="s">
        <v>15</v>
      </c>
      <c r="C456" s="2" t="s">
        <v>20</v>
      </c>
      <c r="D456" s="2" t="n">
        <v>8499</v>
      </c>
      <c r="E456" s="2" t="n">
        <v>13440</v>
      </c>
      <c r="F456" s="2" t="n">
        <v>416</v>
      </c>
      <c r="G456" s="2" t="n">
        <v>52</v>
      </c>
      <c r="H456" s="2" t="n">
        <v>175</v>
      </c>
      <c r="I456" s="2" t="n">
        <v>41</v>
      </c>
      <c r="J456" s="2" t="n">
        <f aca="false">F456+G456+H456</f>
        <v>643</v>
      </c>
      <c r="K456" s="3" t="n">
        <f aca="false">J456/D456</f>
        <v>0.07565595952465</v>
      </c>
    </row>
    <row r="457" customFormat="false" ht="15" hidden="false" customHeight="false" outlineLevel="0" collapsed="false">
      <c r="A457" s="2" t="s">
        <v>337</v>
      </c>
      <c r="B457" s="2" t="s">
        <v>15</v>
      </c>
      <c r="C457" s="2" t="s">
        <v>13</v>
      </c>
      <c r="D457" s="2" t="n">
        <v>3432</v>
      </c>
      <c r="E457" s="2" t="n">
        <v>4449</v>
      </c>
      <c r="F457" s="2" t="n">
        <v>78</v>
      </c>
      <c r="G457" s="2" t="n">
        <v>14</v>
      </c>
      <c r="H457" s="2" t="n">
        <v>33</v>
      </c>
      <c r="I457" s="2" t="n">
        <v>4</v>
      </c>
      <c r="J457" s="2" t="n">
        <f aca="false">F457+G457+H457</f>
        <v>125</v>
      </c>
      <c r="K457" s="3" t="n">
        <f aca="false">J457/D457</f>
        <v>0.0364219114219114</v>
      </c>
    </row>
    <row r="458" customFormat="false" ht="15" hidden="false" customHeight="false" outlineLevel="0" collapsed="false">
      <c r="A458" s="2" t="s">
        <v>337</v>
      </c>
      <c r="B458" s="2" t="s">
        <v>15</v>
      </c>
      <c r="C458" s="2" t="s">
        <v>20</v>
      </c>
      <c r="D458" s="2" t="n">
        <v>8807</v>
      </c>
      <c r="E458" s="2" t="n">
        <v>12194</v>
      </c>
      <c r="F458" s="2" t="n">
        <v>283</v>
      </c>
      <c r="G458" s="2" t="n">
        <v>41</v>
      </c>
      <c r="H458" s="2" t="n">
        <v>76</v>
      </c>
      <c r="I458" s="2" t="n">
        <v>27</v>
      </c>
      <c r="J458" s="2" t="n">
        <f aca="false">F458+G458+H458</f>
        <v>400</v>
      </c>
      <c r="K458" s="3" t="n">
        <f aca="false">J458/D458</f>
        <v>0.0454184171681617</v>
      </c>
    </row>
    <row r="459" customFormat="false" ht="15" hidden="false" customHeight="false" outlineLevel="0" collapsed="false">
      <c r="A459" s="2" t="s">
        <v>338</v>
      </c>
      <c r="B459" s="2" t="s">
        <v>22</v>
      </c>
      <c r="C459" s="2" t="s">
        <v>23</v>
      </c>
      <c r="D459" s="2" t="n">
        <v>5368</v>
      </c>
      <c r="E459" s="2" t="n">
        <v>6334</v>
      </c>
      <c r="F459" s="2" t="n">
        <v>277</v>
      </c>
      <c r="G459" s="2" t="n">
        <v>39</v>
      </c>
      <c r="H459" s="2" t="n">
        <v>93</v>
      </c>
      <c r="I459" s="2" t="n">
        <v>29</v>
      </c>
      <c r="J459" s="2" t="n">
        <f aca="false">F459+G459+H459</f>
        <v>409</v>
      </c>
      <c r="K459" s="3" t="n">
        <f aca="false">J459/D459</f>
        <v>0.0761922503725782</v>
      </c>
    </row>
    <row r="460" customFormat="false" ht="15" hidden="false" customHeight="false" outlineLevel="0" collapsed="false">
      <c r="A460" s="2" t="s">
        <v>339</v>
      </c>
      <c r="B460" s="2" t="s">
        <v>19</v>
      </c>
      <c r="C460" s="2" t="s">
        <v>20</v>
      </c>
      <c r="D460" s="2" t="n">
        <v>2544</v>
      </c>
      <c r="E460" s="2" t="n">
        <v>3447</v>
      </c>
      <c r="F460" s="2" t="n">
        <v>105</v>
      </c>
      <c r="G460" s="2" t="n">
        <v>9</v>
      </c>
      <c r="H460" s="2" t="n">
        <v>50</v>
      </c>
      <c r="I460" s="2" t="n">
        <v>13</v>
      </c>
      <c r="J460" s="2" t="n">
        <f aca="false">F460+G460+H460</f>
        <v>164</v>
      </c>
      <c r="K460" s="3" t="n">
        <f aca="false">J460/D460</f>
        <v>0.0644654088050315</v>
      </c>
    </row>
    <row r="461" customFormat="false" ht="15" hidden="false" customHeight="false" outlineLevel="0" collapsed="false">
      <c r="A461" s="2" t="s">
        <v>339</v>
      </c>
      <c r="B461" s="2" t="s">
        <v>26</v>
      </c>
      <c r="C461" s="2" t="s">
        <v>18</v>
      </c>
      <c r="D461" s="2" t="n">
        <v>8569</v>
      </c>
      <c r="E461" s="2" t="n">
        <v>10098</v>
      </c>
      <c r="F461" s="2" t="n">
        <v>352</v>
      </c>
      <c r="G461" s="2" t="n">
        <v>67</v>
      </c>
      <c r="H461" s="2" t="n">
        <v>163</v>
      </c>
      <c r="I461" s="2" t="n">
        <v>41</v>
      </c>
      <c r="J461" s="2" t="n">
        <f aca="false">F461+G461+H461</f>
        <v>582</v>
      </c>
      <c r="K461" s="3" t="n">
        <f aca="false">J461/D461</f>
        <v>0.0679192437857393</v>
      </c>
    </row>
    <row r="462" customFormat="false" ht="15" hidden="false" customHeight="false" outlineLevel="0" collapsed="false">
      <c r="A462" s="2" t="s">
        <v>340</v>
      </c>
      <c r="B462" s="2" t="s">
        <v>15</v>
      </c>
      <c r="C462" s="2" t="s">
        <v>13</v>
      </c>
      <c r="D462" s="2" t="n">
        <v>5933</v>
      </c>
      <c r="E462" s="2" t="n">
        <v>6908</v>
      </c>
      <c r="F462" s="2" t="n">
        <v>348</v>
      </c>
      <c r="G462" s="2" t="n">
        <v>51</v>
      </c>
      <c r="H462" s="2" t="n">
        <v>98</v>
      </c>
      <c r="I462" s="2" t="n">
        <v>31</v>
      </c>
      <c r="J462" s="2" t="n">
        <f aca="false">F462+G462+H462</f>
        <v>497</v>
      </c>
      <c r="K462" s="3" t="n">
        <f aca="false">J462/D462</f>
        <v>0.08376875105343</v>
      </c>
    </row>
    <row r="463" customFormat="false" ht="15" hidden="false" customHeight="false" outlineLevel="0" collapsed="false">
      <c r="A463" s="2" t="s">
        <v>341</v>
      </c>
      <c r="B463" s="2" t="s">
        <v>19</v>
      </c>
      <c r="C463" s="2" t="s">
        <v>23</v>
      </c>
      <c r="D463" s="2" t="n">
        <v>1279</v>
      </c>
      <c r="E463" s="2" t="n">
        <v>1568</v>
      </c>
      <c r="F463" s="2" t="n">
        <v>29</v>
      </c>
      <c r="G463" s="2" t="n">
        <v>4</v>
      </c>
      <c r="H463" s="2" t="n">
        <v>8</v>
      </c>
      <c r="I463" s="2" t="n">
        <v>2</v>
      </c>
      <c r="J463" s="2" t="n">
        <f aca="false">F463+G463+H463</f>
        <v>41</v>
      </c>
      <c r="K463" s="3" t="n">
        <f aca="false">J463/D463</f>
        <v>0.0320562939796716</v>
      </c>
    </row>
    <row r="464" customFormat="false" ht="15" hidden="false" customHeight="false" outlineLevel="0" collapsed="false">
      <c r="A464" s="2" t="s">
        <v>341</v>
      </c>
      <c r="B464" s="2" t="s">
        <v>15</v>
      </c>
      <c r="C464" s="2" t="s">
        <v>18</v>
      </c>
      <c r="D464" s="2" t="n">
        <v>3862</v>
      </c>
      <c r="E464" s="2" t="n">
        <v>4601</v>
      </c>
      <c r="F464" s="2" t="n">
        <v>246</v>
      </c>
      <c r="G464" s="2" t="n">
        <v>41</v>
      </c>
      <c r="H464" s="2" t="n">
        <v>45</v>
      </c>
      <c r="I464" s="2" t="n">
        <v>14</v>
      </c>
      <c r="J464" s="2" t="n">
        <f aca="false">F464+G464+H464</f>
        <v>332</v>
      </c>
      <c r="K464" s="3" t="n">
        <f aca="false">J464/D464</f>
        <v>0.0859658208182289</v>
      </c>
    </row>
    <row r="465" customFormat="false" ht="15" hidden="false" customHeight="false" outlineLevel="0" collapsed="false">
      <c r="A465" s="2" t="s">
        <v>342</v>
      </c>
      <c r="B465" s="2" t="s">
        <v>26</v>
      </c>
      <c r="C465" s="2" t="s">
        <v>23</v>
      </c>
      <c r="D465" s="2" t="n">
        <v>10762</v>
      </c>
      <c r="E465" s="2" t="n">
        <v>14281</v>
      </c>
      <c r="F465" s="2" t="n">
        <v>264</v>
      </c>
      <c r="G465" s="2" t="n">
        <v>46</v>
      </c>
      <c r="H465" s="2" t="n">
        <v>57</v>
      </c>
      <c r="I465" s="2" t="n">
        <v>27</v>
      </c>
      <c r="J465" s="2" t="n">
        <f aca="false">F465+G465+H465</f>
        <v>367</v>
      </c>
      <c r="K465" s="3" t="n">
        <f aca="false">J465/D465</f>
        <v>0.0341014681286006</v>
      </c>
    </row>
    <row r="466" customFormat="false" ht="15" hidden="false" customHeight="false" outlineLevel="0" collapsed="false">
      <c r="A466" s="2" t="s">
        <v>343</v>
      </c>
      <c r="B466" s="2" t="s">
        <v>19</v>
      </c>
      <c r="C466" s="2" t="s">
        <v>18</v>
      </c>
      <c r="D466" s="2" t="n">
        <v>4091</v>
      </c>
      <c r="E466" s="2" t="n">
        <v>6203</v>
      </c>
      <c r="F466" s="2" t="n">
        <v>210</v>
      </c>
      <c r="G466" s="2" t="n">
        <v>31</v>
      </c>
      <c r="H466" s="2" t="n">
        <v>40</v>
      </c>
      <c r="I466" s="2" t="n">
        <v>11</v>
      </c>
      <c r="J466" s="2" t="n">
        <f aca="false">F466+G466+H466</f>
        <v>281</v>
      </c>
      <c r="K466" s="3" t="n">
        <f aca="false">J466/D466</f>
        <v>0.0686873625030555</v>
      </c>
    </row>
    <row r="467" customFormat="false" ht="15" hidden="false" customHeight="false" outlineLevel="0" collapsed="false">
      <c r="A467" s="2" t="s">
        <v>343</v>
      </c>
      <c r="B467" s="2" t="s">
        <v>12</v>
      </c>
      <c r="C467" s="2" t="s">
        <v>20</v>
      </c>
      <c r="D467" s="2" t="n">
        <v>2587</v>
      </c>
      <c r="E467" s="2" t="n">
        <v>3770</v>
      </c>
      <c r="F467" s="2" t="n">
        <v>104</v>
      </c>
      <c r="G467" s="2" t="n">
        <v>9</v>
      </c>
      <c r="H467" s="2" t="n">
        <v>58</v>
      </c>
      <c r="I467" s="2" t="n">
        <v>6</v>
      </c>
      <c r="J467" s="2" t="n">
        <f aca="false">F467+G467+H467</f>
        <v>171</v>
      </c>
      <c r="K467" s="3" t="n">
        <f aca="false">J467/D467</f>
        <v>0.0660997294163123</v>
      </c>
    </row>
    <row r="468" customFormat="false" ht="15" hidden="false" customHeight="false" outlineLevel="0" collapsed="false">
      <c r="A468" s="2" t="s">
        <v>344</v>
      </c>
      <c r="B468" s="2" t="s">
        <v>15</v>
      </c>
      <c r="C468" s="2" t="s">
        <v>13</v>
      </c>
      <c r="D468" s="2" t="n">
        <v>11454</v>
      </c>
      <c r="E468" s="2" t="n">
        <v>14858</v>
      </c>
      <c r="F468" s="2" t="n">
        <v>657</v>
      </c>
      <c r="G468" s="2" t="n">
        <v>70</v>
      </c>
      <c r="H468" s="2" t="n">
        <v>182</v>
      </c>
      <c r="I468" s="2" t="n">
        <v>38</v>
      </c>
      <c r="J468" s="2" t="n">
        <f aca="false">F468+G468+H468</f>
        <v>909</v>
      </c>
      <c r="K468" s="3" t="n">
        <f aca="false">J468/D468</f>
        <v>0.0793609219486642</v>
      </c>
    </row>
    <row r="469" customFormat="false" ht="15" hidden="false" customHeight="false" outlineLevel="0" collapsed="false">
      <c r="A469" s="2" t="s">
        <v>344</v>
      </c>
      <c r="B469" s="2" t="s">
        <v>22</v>
      </c>
      <c r="C469" s="2" t="s">
        <v>20</v>
      </c>
      <c r="D469" s="2" t="n">
        <v>2050</v>
      </c>
      <c r="E469" s="2" t="n">
        <v>2721</v>
      </c>
      <c r="F469" s="2" t="n">
        <v>61</v>
      </c>
      <c r="G469" s="2" t="n">
        <v>4</v>
      </c>
      <c r="H469" s="2" t="n">
        <v>17</v>
      </c>
      <c r="I469" s="2" t="n">
        <v>5</v>
      </c>
      <c r="J469" s="2" t="n">
        <f aca="false">F469+G469+H469</f>
        <v>82</v>
      </c>
      <c r="K469" s="3" t="n">
        <f aca="false">J469/D469</f>
        <v>0.04</v>
      </c>
    </row>
    <row r="470" customFormat="false" ht="15" hidden="false" customHeight="false" outlineLevel="0" collapsed="false">
      <c r="A470" s="2" t="s">
        <v>345</v>
      </c>
      <c r="B470" s="2" t="s">
        <v>15</v>
      </c>
      <c r="C470" s="2" t="s">
        <v>18</v>
      </c>
      <c r="D470" s="2" t="n">
        <v>5356</v>
      </c>
      <c r="E470" s="2" t="n">
        <v>7740</v>
      </c>
      <c r="F470" s="2" t="n">
        <v>181</v>
      </c>
      <c r="G470" s="2" t="n">
        <v>16</v>
      </c>
      <c r="H470" s="2" t="n">
        <v>53</v>
      </c>
      <c r="I470" s="2" t="n">
        <v>13</v>
      </c>
      <c r="J470" s="2" t="n">
        <f aca="false">F470+G470+H470</f>
        <v>250</v>
      </c>
      <c r="K470" s="3" t="n">
        <f aca="false">J470/D470</f>
        <v>0.0466766243465273</v>
      </c>
    </row>
    <row r="471" customFormat="false" ht="15" hidden="false" customHeight="false" outlineLevel="0" collapsed="false">
      <c r="A471" s="2" t="s">
        <v>345</v>
      </c>
      <c r="B471" s="2" t="s">
        <v>22</v>
      </c>
      <c r="C471" s="2" t="s">
        <v>13</v>
      </c>
      <c r="D471" s="2" t="n">
        <v>2264</v>
      </c>
      <c r="E471" s="2" t="n">
        <v>2955</v>
      </c>
      <c r="F471" s="2" t="n">
        <v>130</v>
      </c>
      <c r="G471" s="2" t="n">
        <v>25</v>
      </c>
      <c r="H471" s="2" t="n">
        <v>24</v>
      </c>
      <c r="I471" s="2" t="n">
        <v>5</v>
      </c>
      <c r="J471" s="2" t="n">
        <f aca="false">F471+G471+H471</f>
        <v>179</v>
      </c>
      <c r="K471" s="3" t="n">
        <f aca="false">J471/D471</f>
        <v>0.0790636042402827</v>
      </c>
    </row>
    <row r="472" customFormat="false" ht="15" hidden="false" customHeight="false" outlineLevel="0" collapsed="false">
      <c r="A472" s="2" t="s">
        <v>346</v>
      </c>
      <c r="B472" s="2" t="s">
        <v>19</v>
      </c>
      <c r="C472" s="2" t="s">
        <v>23</v>
      </c>
      <c r="D472" s="2" t="n">
        <v>2855</v>
      </c>
      <c r="E472" s="2" t="n">
        <v>3877</v>
      </c>
      <c r="F472" s="2" t="n">
        <v>150</v>
      </c>
      <c r="G472" s="2" t="n">
        <v>25</v>
      </c>
      <c r="H472" s="2" t="n">
        <v>32</v>
      </c>
      <c r="I472" s="2" t="n">
        <v>9</v>
      </c>
      <c r="J472" s="2" t="n">
        <f aca="false">F472+G472+H472</f>
        <v>207</v>
      </c>
      <c r="K472" s="3" t="n">
        <f aca="false">J472/D472</f>
        <v>0.0725043782837128</v>
      </c>
    </row>
    <row r="473" customFormat="false" ht="15" hidden="false" customHeight="false" outlineLevel="0" collapsed="false">
      <c r="A473" s="2" t="s">
        <v>346</v>
      </c>
      <c r="B473" s="2" t="s">
        <v>15</v>
      </c>
      <c r="C473" s="2" t="s">
        <v>13</v>
      </c>
      <c r="D473" s="2" t="n">
        <v>4220</v>
      </c>
      <c r="E473" s="2" t="n">
        <v>5474</v>
      </c>
      <c r="F473" s="2" t="n">
        <v>66</v>
      </c>
      <c r="G473" s="2" t="n">
        <v>7</v>
      </c>
      <c r="H473" s="2" t="n">
        <v>19</v>
      </c>
      <c r="I473" s="2" t="n">
        <v>2</v>
      </c>
      <c r="J473" s="2" t="n">
        <f aca="false">F473+G473+H473</f>
        <v>92</v>
      </c>
      <c r="K473" s="3" t="n">
        <f aca="false">J473/D473</f>
        <v>0.0218009478672986</v>
      </c>
    </row>
    <row r="474" customFormat="false" ht="15" hidden="false" customHeight="false" outlineLevel="0" collapsed="false">
      <c r="A474" s="2" t="s">
        <v>347</v>
      </c>
      <c r="B474" s="2" t="s">
        <v>15</v>
      </c>
      <c r="C474" s="2" t="s">
        <v>23</v>
      </c>
      <c r="D474" s="2" t="n">
        <v>3921</v>
      </c>
      <c r="E474" s="2" t="n">
        <v>5350</v>
      </c>
      <c r="F474" s="2" t="n">
        <v>127</v>
      </c>
      <c r="G474" s="2" t="n">
        <v>25</v>
      </c>
      <c r="H474" s="2" t="n">
        <v>30</v>
      </c>
      <c r="I474" s="2" t="n">
        <v>10</v>
      </c>
      <c r="J474" s="2" t="n">
        <f aca="false">F474+G474+H474</f>
        <v>182</v>
      </c>
      <c r="K474" s="3" t="n">
        <f aca="false">J474/D474</f>
        <v>0.0464167304259118</v>
      </c>
    </row>
    <row r="475" customFormat="false" ht="15" hidden="false" customHeight="false" outlineLevel="0" collapsed="false">
      <c r="A475" s="2" t="s">
        <v>347</v>
      </c>
      <c r="B475" s="2" t="s">
        <v>15</v>
      </c>
      <c r="C475" s="2" t="s">
        <v>20</v>
      </c>
      <c r="D475" s="2" t="n">
        <v>3724</v>
      </c>
      <c r="E475" s="2" t="n">
        <v>5512</v>
      </c>
      <c r="F475" s="2" t="n">
        <v>114</v>
      </c>
      <c r="G475" s="2" t="n">
        <v>17</v>
      </c>
      <c r="H475" s="2" t="n">
        <v>25</v>
      </c>
      <c r="I475" s="2" t="n">
        <v>4</v>
      </c>
      <c r="J475" s="2" t="n">
        <f aca="false">F475+G475+H475</f>
        <v>156</v>
      </c>
      <c r="K475" s="3" t="n">
        <f aca="false">J475/D475</f>
        <v>0.041890440386681</v>
      </c>
    </row>
    <row r="476" customFormat="false" ht="15" hidden="false" customHeight="false" outlineLevel="0" collapsed="false">
      <c r="A476" s="2" t="s">
        <v>348</v>
      </c>
      <c r="B476" s="2" t="s">
        <v>22</v>
      </c>
      <c r="C476" s="2" t="s">
        <v>18</v>
      </c>
      <c r="D476" s="2" t="n">
        <v>3266</v>
      </c>
      <c r="E476" s="2" t="n">
        <v>4290</v>
      </c>
      <c r="F476" s="2" t="n">
        <v>200</v>
      </c>
      <c r="G476" s="2" t="n">
        <v>18</v>
      </c>
      <c r="H476" s="2" t="n">
        <v>66</v>
      </c>
      <c r="I476" s="2" t="n">
        <v>21</v>
      </c>
      <c r="J476" s="2" t="n">
        <f aca="false">F476+G476+H476</f>
        <v>284</v>
      </c>
      <c r="K476" s="3" t="n">
        <f aca="false">J476/D476</f>
        <v>0.0869565217391304</v>
      </c>
    </row>
    <row r="477" customFormat="false" ht="15" hidden="false" customHeight="false" outlineLevel="0" collapsed="false">
      <c r="A477" s="2" t="s">
        <v>349</v>
      </c>
      <c r="B477" s="2" t="s">
        <v>22</v>
      </c>
      <c r="C477" s="2" t="s">
        <v>18</v>
      </c>
      <c r="D477" s="2" t="n">
        <v>3969</v>
      </c>
      <c r="E477" s="2" t="n">
        <v>5331</v>
      </c>
      <c r="F477" s="2" t="n">
        <v>71</v>
      </c>
      <c r="G477" s="2" t="n">
        <v>14</v>
      </c>
      <c r="H477" s="2" t="n">
        <v>20</v>
      </c>
      <c r="I477" s="2" t="n">
        <v>7</v>
      </c>
      <c r="J477" s="2" t="n">
        <f aca="false">F477+G477+H477</f>
        <v>105</v>
      </c>
      <c r="K477" s="3" t="n">
        <f aca="false">J477/D477</f>
        <v>0.0264550264550265</v>
      </c>
    </row>
    <row r="478" customFormat="false" ht="15" hidden="false" customHeight="false" outlineLevel="0" collapsed="false">
      <c r="A478" s="2" t="s">
        <v>350</v>
      </c>
      <c r="B478" s="2" t="s">
        <v>12</v>
      </c>
      <c r="C478" s="2" t="s">
        <v>13</v>
      </c>
      <c r="D478" s="2" t="n">
        <v>1977</v>
      </c>
      <c r="E478" s="2" t="n">
        <v>3156</v>
      </c>
      <c r="F478" s="2" t="n">
        <v>66</v>
      </c>
      <c r="G478" s="2" t="n">
        <v>12</v>
      </c>
      <c r="H478" s="2" t="n">
        <v>22</v>
      </c>
      <c r="I478" s="2" t="n">
        <v>8</v>
      </c>
      <c r="J478" s="2" t="n">
        <f aca="false">F478+G478+H478</f>
        <v>100</v>
      </c>
      <c r="K478" s="3" t="n">
        <f aca="false">J478/D478</f>
        <v>0.0505816894284269</v>
      </c>
    </row>
    <row r="479" customFormat="false" ht="15" hidden="false" customHeight="false" outlineLevel="0" collapsed="false">
      <c r="A479" s="2" t="s">
        <v>351</v>
      </c>
      <c r="B479" s="2" t="s">
        <v>22</v>
      </c>
      <c r="C479" s="2" t="s">
        <v>18</v>
      </c>
      <c r="D479" s="2" t="n">
        <v>5144</v>
      </c>
      <c r="E479" s="2" t="n">
        <v>7053</v>
      </c>
      <c r="F479" s="2" t="n">
        <v>225</v>
      </c>
      <c r="G479" s="2" t="n">
        <v>51</v>
      </c>
      <c r="H479" s="2" t="n">
        <v>98</v>
      </c>
      <c r="I479" s="2" t="n">
        <v>21</v>
      </c>
      <c r="J479" s="2" t="n">
        <f aca="false">F479+G479+H479</f>
        <v>374</v>
      </c>
      <c r="K479" s="3" t="n">
        <f aca="false">J479/D479</f>
        <v>0.072706065318818</v>
      </c>
    </row>
    <row r="480" customFormat="false" ht="15" hidden="false" customHeight="false" outlineLevel="0" collapsed="false">
      <c r="A480" s="2" t="s">
        <v>352</v>
      </c>
      <c r="B480" s="2" t="s">
        <v>26</v>
      </c>
      <c r="C480" s="2" t="s">
        <v>18</v>
      </c>
      <c r="D480" s="2" t="n">
        <v>9104</v>
      </c>
      <c r="E480" s="2" t="n">
        <v>12729</v>
      </c>
      <c r="F480" s="2" t="n">
        <v>486</v>
      </c>
      <c r="G480" s="2" t="n">
        <v>57</v>
      </c>
      <c r="H480" s="2" t="n">
        <v>123</v>
      </c>
      <c r="I480" s="2" t="n">
        <v>50</v>
      </c>
      <c r="J480" s="2" t="n">
        <f aca="false">F480+G480+H480</f>
        <v>666</v>
      </c>
      <c r="K480" s="3" t="n">
        <f aca="false">J480/D480</f>
        <v>0.0731546572934974</v>
      </c>
    </row>
    <row r="481" customFormat="false" ht="15" hidden="false" customHeight="false" outlineLevel="0" collapsed="false">
      <c r="A481" s="2" t="s">
        <v>352</v>
      </c>
      <c r="B481" s="2" t="s">
        <v>15</v>
      </c>
      <c r="C481" s="2" t="s">
        <v>13</v>
      </c>
      <c r="D481" s="2" t="n">
        <v>8264</v>
      </c>
      <c r="E481" s="2" t="n">
        <v>12856</v>
      </c>
      <c r="F481" s="2" t="n">
        <v>465</v>
      </c>
      <c r="G481" s="2" t="n">
        <v>80</v>
      </c>
      <c r="H481" s="2" t="n">
        <v>113</v>
      </c>
      <c r="I481" s="2" t="n">
        <v>22</v>
      </c>
      <c r="J481" s="2" t="n">
        <f aca="false">F481+G481+H481</f>
        <v>658</v>
      </c>
      <c r="K481" s="3" t="n">
        <f aca="false">J481/D481</f>
        <v>0.079622458857696</v>
      </c>
    </row>
    <row r="482" customFormat="false" ht="15" hidden="false" customHeight="false" outlineLevel="0" collapsed="false">
      <c r="A482" s="2" t="s">
        <v>353</v>
      </c>
      <c r="B482" s="2" t="s">
        <v>15</v>
      </c>
      <c r="C482" s="2" t="s">
        <v>18</v>
      </c>
      <c r="D482" s="2" t="n">
        <v>2772</v>
      </c>
      <c r="E482" s="2" t="n">
        <v>3717</v>
      </c>
      <c r="F482" s="2" t="n">
        <v>110</v>
      </c>
      <c r="G482" s="2" t="n">
        <v>13</v>
      </c>
      <c r="H482" s="2" t="n">
        <v>49</v>
      </c>
      <c r="I482" s="2" t="n">
        <v>8</v>
      </c>
      <c r="J482" s="2" t="n">
        <f aca="false">F482+G482+H482</f>
        <v>172</v>
      </c>
      <c r="K482" s="3" t="n">
        <f aca="false">J482/D482</f>
        <v>0.0620490620490621</v>
      </c>
    </row>
    <row r="483" customFormat="false" ht="15" hidden="false" customHeight="false" outlineLevel="0" collapsed="false">
      <c r="A483" s="2" t="s">
        <v>354</v>
      </c>
      <c r="B483" s="2" t="s">
        <v>15</v>
      </c>
      <c r="C483" s="2" t="s">
        <v>13</v>
      </c>
      <c r="D483" s="2" t="n">
        <v>2607</v>
      </c>
      <c r="E483" s="2" t="n">
        <v>3940</v>
      </c>
      <c r="F483" s="2" t="n">
        <v>136</v>
      </c>
      <c r="G483" s="2" t="n">
        <v>28</v>
      </c>
      <c r="H483" s="2" t="n">
        <v>53</v>
      </c>
      <c r="I483" s="2" t="n">
        <v>11</v>
      </c>
      <c r="J483" s="2" t="n">
        <f aca="false">F483+G483+H483</f>
        <v>217</v>
      </c>
      <c r="K483" s="3" t="n">
        <f aca="false">J483/D483</f>
        <v>0.0832374376678174</v>
      </c>
    </row>
    <row r="484" customFormat="false" ht="15" hidden="false" customHeight="false" outlineLevel="0" collapsed="false">
      <c r="A484" s="2" t="s">
        <v>355</v>
      </c>
      <c r="B484" s="2" t="s">
        <v>15</v>
      </c>
      <c r="C484" s="2" t="s">
        <v>18</v>
      </c>
      <c r="D484" s="2" t="n">
        <v>5796</v>
      </c>
      <c r="E484" s="2" t="n">
        <v>8193</v>
      </c>
      <c r="F484" s="2" t="n">
        <v>291</v>
      </c>
      <c r="G484" s="2" t="n">
        <v>49</v>
      </c>
      <c r="H484" s="2" t="n">
        <v>68</v>
      </c>
      <c r="I484" s="2" t="n">
        <v>26</v>
      </c>
      <c r="J484" s="2" t="n">
        <f aca="false">F484+G484+H484</f>
        <v>408</v>
      </c>
      <c r="K484" s="3" t="n">
        <f aca="false">J484/D484</f>
        <v>0.0703933747412008</v>
      </c>
    </row>
    <row r="485" customFormat="false" ht="15" hidden="false" customHeight="false" outlineLevel="0" collapsed="false">
      <c r="A485" s="2" t="s">
        <v>355</v>
      </c>
      <c r="B485" s="2" t="s">
        <v>15</v>
      </c>
      <c r="C485" s="2" t="s">
        <v>23</v>
      </c>
      <c r="D485" s="2" t="n">
        <v>4208</v>
      </c>
      <c r="E485" s="2" t="n">
        <v>6591</v>
      </c>
      <c r="F485" s="2" t="n">
        <v>74</v>
      </c>
      <c r="G485" s="2" t="n">
        <v>9</v>
      </c>
      <c r="H485" s="2" t="n">
        <v>17</v>
      </c>
      <c r="I485" s="2" t="n">
        <v>3</v>
      </c>
      <c r="J485" s="2" t="n">
        <f aca="false">F485+G485+H485</f>
        <v>100</v>
      </c>
      <c r="K485" s="3" t="n">
        <f aca="false">J485/D485</f>
        <v>0.0237642585551331</v>
      </c>
    </row>
    <row r="486" customFormat="false" ht="15" hidden="false" customHeight="false" outlineLevel="0" collapsed="false">
      <c r="A486" s="2" t="s">
        <v>356</v>
      </c>
      <c r="B486" s="2" t="s">
        <v>12</v>
      </c>
      <c r="C486" s="2" t="s">
        <v>18</v>
      </c>
      <c r="D486" s="2" t="n">
        <v>1576</v>
      </c>
      <c r="E486" s="2" t="n">
        <v>1966</v>
      </c>
      <c r="F486" s="2" t="n">
        <v>60</v>
      </c>
      <c r="G486" s="2" t="n">
        <v>11</v>
      </c>
      <c r="H486" s="2" t="n">
        <v>20</v>
      </c>
      <c r="I486" s="2" t="n">
        <v>7</v>
      </c>
      <c r="J486" s="2" t="n">
        <f aca="false">F486+G486+H486</f>
        <v>91</v>
      </c>
      <c r="K486" s="3" t="n">
        <f aca="false">J486/D486</f>
        <v>0.057741116751269</v>
      </c>
    </row>
    <row r="487" customFormat="false" ht="15" hidden="false" customHeight="false" outlineLevel="0" collapsed="false">
      <c r="A487" s="2" t="s">
        <v>356</v>
      </c>
      <c r="B487" s="2" t="s">
        <v>15</v>
      </c>
      <c r="C487" s="2" t="s">
        <v>23</v>
      </c>
      <c r="D487" s="2" t="n">
        <v>5799</v>
      </c>
      <c r="E487" s="2" t="n">
        <v>7599</v>
      </c>
      <c r="F487" s="2" t="n">
        <v>189</v>
      </c>
      <c r="G487" s="2" t="n">
        <v>33</v>
      </c>
      <c r="H487" s="2" t="n">
        <v>71</v>
      </c>
      <c r="I487" s="2" t="n">
        <v>14</v>
      </c>
      <c r="J487" s="2" t="n">
        <f aca="false">F487+G487+H487</f>
        <v>293</v>
      </c>
      <c r="K487" s="3" t="n">
        <f aca="false">J487/D487</f>
        <v>0.0505259527504742</v>
      </c>
    </row>
    <row r="488" customFormat="false" ht="15" hidden="false" customHeight="false" outlineLevel="0" collapsed="false">
      <c r="A488" s="2" t="s">
        <v>357</v>
      </c>
      <c r="B488" s="2" t="s">
        <v>15</v>
      </c>
      <c r="C488" s="2" t="s">
        <v>20</v>
      </c>
      <c r="D488" s="2" t="n">
        <v>5642</v>
      </c>
      <c r="E488" s="2" t="n">
        <v>7605</v>
      </c>
      <c r="F488" s="2" t="n">
        <v>334</v>
      </c>
      <c r="G488" s="2" t="n">
        <v>72</v>
      </c>
      <c r="H488" s="2" t="n">
        <v>91</v>
      </c>
      <c r="I488" s="2" t="n">
        <v>24</v>
      </c>
      <c r="J488" s="2" t="n">
        <f aca="false">F488+G488+H488</f>
        <v>497</v>
      </c>
      <c r="K488" s="3" t="n">
        <f aca="false">J488/D488</f>
        <v>0.0880893300248139</v>
      </c>
    </row>
    <row r="489" customFormat="false" ht="15" hidden="false" customHeight="false" outlineLevel="0" collapsed="false">
      <c r="A489" s="2" t="s">
        <v>358</v>
      </c>
      <c r="B489" s="2" t="s">
        <v>15</v>
      </c>
      <c r="C489" s="2" t="s">
        <v>18</v>
      </c>
      <c r="D489" s="2" t="n">
        <v>6631</v>
      </c>
      <c r="E489" s="2" t="n">
        <v>8321</v>
      </c>
      <c r="F489" s="2" t="n">
        <v>195</v>
      </c>
      <c r="G489" s="2" t="n">
        <v>17</v>
      </c>
      <c r="H489" s="2" t="n">
        <v>84</v>
      </c>
      <c r="I489" s="2" t="n">
        <v>8</v>
      </c>
      <c r="J489" s="2" t="n">
        <f aca="false">F489+G489+H489</f>
        <v>296</v>
      </c>
      <c r="K489" s="3" t="n">
        <f aca="false">J489/D489</f>
        <v>0.0446388176745589</v>
      </c>
    </row>
    <row r="490" customFormat="false" ht="15" hidden="false" customHeight="false" outlineLevel="0" collapsed="false">
      <c r="A490" s="2" t="s">
        <v>359</v>
      </c>
      <c r="B490" s="2" t="s">
        <v>26</v>
      </c>
      <c r="C490" s="2" t="s">
        <v>18</v>
      </c>
      <c r="D490" s="2" t="n">
        <v>2440</v>
      </c>
      <c r="E490" s="2" t="n">
        <v>3408</v>
      </c>
      <c r="F490" s="2" t="n">
        <v>40</v>
      </c>
      <c r="G490" s="2" t="n">
        <v>5</v>
      </c>
      <c r="H490" s="2" t="n">
        <v>11</v>
      </c>
      <c r="I490" s="2" t="n">
        <v>3</v>
      </c>
      <c r="J490" s="2" t="n">
        <f aca="false">F490+G490+H490</f>
        <v>56</v>
      </c>
      <c r="K490" s="3" t="n">
        <f aca="false">J490/D490</f>
        <v>0.0229508196721311</v>
      </c>
    </row>
    <row r="491" customFormat="false" ht="15" hidden="false" customHeight="false" outlineLevel="0" collapsed="false">
      <c r="A491" s="2" t="s">
        <v>359</v>
      </c>
      <c r="B491" s="2" t="s">
        <v>12</v>
      </c>
      <c r="C491" s="2" t="s">
        <v>23</v>
      </c>
      <c r="D491" s="2" t="n">
        <v>1983</v>
      </c>
      <c r="E491" s="2" t="n">
        <v>3130</v>
      </c>
      <c r="F491" s="2" t="n">
        <v>79</v>
      </c>
      <c r="G491" s="2" t="n">
        <v>15</v>
      </c>
      <c r="H491" s="2" t="n">
        <v>32</v>
      </c>
      <c r="I491" s="2" t="n">
        <v>8</v>
      </c>
      <c r="J491" s="2" t="n">
        <f aca="false">F491+G491+H491</f>
        <v>126</v>
      </c>
      <c r="K491" s="3" t="n">
        <f aca="false">J491/D491</f>
        <v>0.0635400907715582</v>
      </c>
    </row>
    <row r="492" customFormat="false" ht="15" hidden="false" customHeight="false" outlineLevel="0" collapsed="false">
      <c r="A492" s="2" t="s">
        <v>360</v>
      </c>
      <c r="B492" s="2" t="s">
        <v>19</v>
      </c>
      <c r="C492" s="2" t="s">
        <v>23</v>
      </c>
      <c r="D492" s="2" t="n">
        <v>2329</v>
      </c>
      <c r="E492" s="2" t="n">
        <v>3388</v>
      </c>
      <c r="F492" s="2" t="n">
        <v>76</v>
      </c>
      <c r="G492" s="2" t="n">
        <v>11</v>
      </c>
      <c r="H492" s="2" t="n">
        <v>15</v>
      </c>
      <c r="I492" s="2" t="n">
        <v>5</v>
      </c>
      <c r="J492" s="2" t="n">
        <f aca="false">F492+G492+H492</f>
        <v>102</v>
      </c>
      <c r="K492" s="3" t="n">
        <f aca="false">J492/D492</f>
        <v>0.0437956204379562</v>
      </c>
    </row>
    <row r="493" customFormat="false" ht="15" hidden="false" customHeight="false" outlineLevel="0" collapsed="false">
      <c r="A493" s="2" t="s">
        <v>360</v>
      </c>
      <c r="B493" s="2" t="s">
        <v>15</v>
      </c>
      <c r="C493" s="2" t="s">
        <v>13</v>
      </c>
      <c r="D493" s="2" t="n">
        <v>2661</v>
      </c>
      <c r="E493" s="2" t="n">
        <v>3223</v>
      </c>
      <c r="F493" s="2" t="n">
        <v>166</v>
      </c>
      <c r="G493" s="2" t="n">
        <v>25</v>
      </c>
      <c r="H493" s="2" t="n">
        <v>31</v>
      </c>
      <c r="I493" s="2" t="n">
        <v>15</v>
      </c>
      <c r="J493" s="2" t="n">
        <f aca="false">F493+G493+H493</f>
        <v>222</v>
      </c>
      <c r="K493" s="3" t="n">
        <f aca="false">J493/D493</f>
        <v>0.0834272829763247</v>
      </c>
    </row>
    <row r="494" customFormat="false" ht="15" hidden="false" customHeight="false" outlineLevel="0" collapsed="false">
      <c r="A494" s="2" t="s">
        <v>361</v>
      </c>
      <c r="B494" s="2" t="s">
        <v>19</v>
      </c>
      <c r="C494" s="2" t="s">
        <v>13</v>
      </c>
      <c r="D494" s="2" t="n">
        <v>1554</v>
      </c>
      <c r="E494" s="2" t="n">
        <v>2437</v>
      </c>
      <c r="F494" s="2" t="n">
        <v>68</v>
      </c>
      <c r="G494" s="2" t="n">
        <v>8</v>
      </c>
      <c r="H494" s="2" t="n">
        <v>25</v>
      </c>
      <c r="I494" s="2" t="n">
        <v>4</v>
      </c>
      <c r="J494" s="2" t="n">
        <f aca="false">F494+G494+H494</f>
        <v>101</v>
      </c>
      <c r="K494" s="3" t="n">
        <f aca="false">J494/D494</f>
        <v>0.064993564993565</v>
      </c>
    </row>
    <row r="495" customFormat="false" ht="15" hidden="false" customHeight="false" outlineLevel="0" collapsed="false">
      <c r="A495" s="2" t="s">
        <v>362</v>
      </c>
      <c r="B495" s="2" t="s">
        <v>22</v>
      </c>
      <c r="C495" s="2" t="s">
        <v>20</v>
      </c>
      <c r="D495" s="2" t="n">
        <v>4055</v>
      </c>
      <c r="E495" s="2" t="n">
        <v>6142</v>
      </c>
      <c r="F495" s="2" t="n">
        <v>156</v>
      </c>
      <c r="G495" s="2" t="n">
        <v>36</v>
      </c>
      <c r="H495" s="2" t="n">
        <v>67</v>
      </c>
      <c r="I495" s="2" t="n">
        <v>10</v>
      </c>
      <c r="J495" s="2" t="n">
        <f aca="false">F495+G495+H495</f>
        <v>259</v>
      </c>
      <c r="K495" s="3" t="n">
        <f aca="false">J495/D495</f>
        <v>0.0638717632552404</v>
      </c>
    </row>
    <row r="496" customFormat="false" ht="15" hidden="false" customHeight="false" outlineLevel="0" collapsed="false">
      <c r="A496" s="2" t="s">
        <v>363</v>
      </c>
      <c r="B496" s="2" t="s">
        <v>22</v>
      </c>
      <c r="C496" s="2" t="s">
        <v>13</v>
      </c>
      <c r="D496" s="2" t="n">
        <v>3742</v>
      </c>
      <c r="E496" s="2" t="n">
        <v>5660</v>
      </c>
      <c r="F496" s="2" t="n">
        <v>72</v>
      </c>
      <c r="G496" s="2" t="n">
        <v>6</v>
      </c>
      <c r="H496" s="2" t="n">
        <v>35</v>
      </c>
      <c r="I496" s="2" t="n">
        <v>4</v>
      </c>
      <c r="J496" s="2" t="n">
        <f aca="false">F496+G496+H496</f>
        <v>113</v>
      </c>
      <c r="K496" s="3" t="n">
        <f aca="false">J496/D496</f>
        <v>0.0301977552111171</v>
      </c>
    </row>
    <row r="497" customFormat="false" ht="15" hidden="false" customHeight="false" outlineLevel="0" collapsed="false">
      <c r="A497" s="2" t="s">
        <v>363</v>
      </c>
      <c r="B497" s="2" t="s">
        <v>12</v>
      </c>
      <c r="C497" s="2" t="s">
        <v>13</v>
      </c>
      <c r="D497" s="2" t="n">
        <v>2308</v>
      </c>
      <c r="E497" s="2" t="n">
        <v>3638</v>
      </c>
      <c r="F497" s="2" t="n">
        <v>100</v>
      </c>
      <c r="G497" s="2" t="n">
        <v>8</v>
      </c>
      <c r="H497" s="2" t="n">
        <v>27</v>
      </c>
      <c r="I497" s="2" t="n">
        <v>10</v>
      </c>
      <c r="J497" s="2" t="n">
        <f aca="false">F497+G497+H497</f>
        <v>135</v>
      </c>
      <c r="K497" s="3" t="n">
        <f aca="false">J497/D497</f>
        <v>0.0584922010398614</v>
      </c>
    </row>
    <row r="498" customFormat="false" ht="15" hidden="false" customHeight="false" outlineLevel="0" collapsed="false">
      <c r="A498" s="2" t="s">
        <v>363</v>
      </c>
      <c r="B498" s="2" t="s">
        <v>22</v>
      </c>
      <c r="C498" s="2" t="s">
        <v>18</v>
      </c>
      <c r="D498" s="2" t="n">
        <v>5014</v>
      </c>
      <c r="E498" s="2" t="n">
        <v>7414</v>
      </c>
      <c r="F498" s="2" t="n">
        <v>172</v>
      </c>
      <c r="G498" s="2" t="n">
        <v>30</v>
      </c>
      <c r="H498" s="2" t="n">
        <v>46</v>
      </c>
      <c r="I498" s="2" t="n">
        <v>8</v>
      </c>
      <c r="J498" s="2" t="n">
        <f aca="false">F498+G498+H498</f>
        <v>248</v>
      </c>
      <c r="K498" s="3" t="n">
        <f aca="false">J498/D498</f>
        <v>0.049461507778221</v>
      </c>
    </row>
    <row r="499" customFormat="false" ht="15" hidden="false" customHeight="false" outlineLevel="0" collapsed="false">
      <c r="A499" s="2" t="s">
        <v>364</v>
      </c>
      <c r="B499" s="2" t="s">
        <v>15</v>
      </c>
      <c r="C499" s="2" t="s">
        <v>18</v>
      </c>
      <c r="D499" s="2" t="n">
        <v>6385</v>
      </c>
      <c r="E499" s="2" t="n">
        <v>7700</v>
      </c>
      <c r="F499" s="2" t="n">
        <v>97</v>
      </c>
      <c r="G499" s="2" t="n">
        <v>15</v>
      </c>
      <c r="H499" s="2" t="n">
        <v>25</v>
      </c>
      <c r="I499" s="2" t="n">
        <v>4</v>
      </c>
      <c r="J499" s="2" t="n">
        <f aca="false">F499+G499+H499</f>
        <v>137</v>
      </c>
      <c r="K499" s="3" t="n">
        <f aca="false">J499/D499</f>
        <v>0.0214565387627251</v>
      </c>
    </row>
    <row r="500" customFormat="false" ht="15" hidden="false" customHeight="false" outlineLevel="0" collapsed="false">
      <c r="A500" s="2" t="s">
        <v>365</v>
      </c>
      <c r="B500" s="2" t="s">
        <v>19</v>
      </c>
      <c r="C500" s="2" t="s">
        <v>18</v>
      </c>
      <c r="D500" s="2" t="n">
        <v>936</v>
      </c>
      <c r="E500" s="2" t="n">
        <v>1259</v>
      </c>
      <c r="F500" s="2" t="n">
        <v>28</v>
      </c>
      <c r="G500" s="2" t="n">
        <v>3</v>
      </c>
      <c r="H500" s="2" t="n">
        <v>13</v>
      </c>
      <c r="I500" s="2" t="n">
        <v>3</v>
      </c>
      <c r="J500" s="2" t="n">
        <f aca="false">F500+G500+H500</f>
        <v>44</v>
      </c>
      <c r="K500" s="3" t="n">
        <f aca="false">J500/D500</f>
        <v>0.047008547008547</v>
      </c>
    </row>
    <row r="501" customFormat="false" ht="15" hidden="false" customHeight="false" outlineLevel="0" collapsed="false">
      <c r="A501" s="2" t="s">
        <v>366</v>
      </c>
      <c r="B501" s="2" t="s">
        <v>15</v>
      </c>
      <c r="C501" s="2" t="s">
        <v>20</v>
      </c>
      <c r="D501" s="2" t="n">
        <v>10126</v>
      </c>
      <c r="E501" s="2" t="n">
        <v>14498</v>
      </c>
      <c r="F501" s="2" t="n">
        <v>445</v>
      </c>
      <c r="G501" s="2" t="n">
        <v>75</v>
      </c>
      <c r="H501" s="2" t="n">
        <v>147</v>
      </c>
      <c r="I501" s="2" t="n">
        <v>50</v>
      </c>
      <c r="J501" s="2" t="n">
        <f aca="false">F501+G501+H501</f>
        <v>667</v>
      </c>
      <c r="K501" s="3" t="n">
        <f aca="false">J501/D501</f>
        <v>0.0658700375271578</v>
      </c>
    </row>
    <row r="502" customFormat="false" ht="15" hidden="false" customHeight="false" outlineLevel="0" collapsed="false">
      <c r="A502" s="2" t="s">
        <v>367</v>
      </c>
      <c r="B502" s="2" t="s">
        <v>15</v>
      </c>
      <c r="C502" s="2" t="s">
        <v>23</v>
      </c>
      <c r="D502" s="2" t="n">
        <v>7817</v>
      </c>
      <c r="E502" s="2" t="n">
        <v>10175</v>
      </c>
      <c r="F502" s="2" t="n">
        <v>277</v>
      </c>
      <c r="G502" s="2" t="n">
        <v>51</v>
      </c>
      <c r="H502" s="2" t="n">
        <v>45</v>
      </c>
      <c r="I502" s="2" t="n">
        <v>28</v>
      </c>
      <c r="J502" s="2" t="n">
        <f aca="false">F502+G502+H502</f>
        <v>373</v>
      </c>
      <c r="K502" s="3" t="n">
        <f aca="false">J502/D502</f>
        <v>0.0477165152871946</v>
      </c>
    </row>
    <row r="503" customFormat="false" ht="15" hidden="false" customHeight="false" outlineLevel="0" collapsed="false">
      <c r="A503" s="2" t="s">
        <v>367</v>
      </c>
      <c r="B503" s="2" t="s">
        <v>19</v>
      </c>
      <c r="C503" s="2" t="s">
        <v>18</v>
      </c>
      <c r="D503" s="2" t="n">
        <v>1685</v>
      </c>
      <c r="E503" s="2" t="n">
        <v>2314</v>
      </c>
      <c r="F503" s="2" t="n">
        <v>72</v>
      </c>
      <c r="G503" s="2" t="n">
        <v>13</v>
      </c>
      <c r="H503" s="2" t="n">
        <v>30</v>
      </c>
      <c r="I503" s="2" t="n">
        <v>6</v>
      </c>
      <c r="J503" s="2" t="n">
        <f aca="false">F503+G503+H503</f>
        <v>115</v>
      </c>
      <c r="K503" s="3" t="n">
        <f aca="false">J503/D503</f>
        <v>0.0682492581602374</v>
      </c>
    </row>
    <row r="504" customFormat="false" ht="15" hidden="false" customHeight="false" outlineLevel="0" collapsed="false">
      <c r="A504" s="2" t="s">
        <v>368</v>
      </c>
      <c r="B504" s="2" t="s">
        <v>15</v>
      </c>
      <c r="C504" s="2" t="s">
        <v>23</v>
      </c>
      <c r="D504" s="2" t="n">
        <v>5514</v>
      </c>
      <c r="E504" s="2" t="n">
        <v>8723</v>
      </c>
      <c r="F504" s="2" t="n">
        <v>354</v>
      </c>
      <c r="G504" s="2" t="n">
        <v>53</v>
      </c>
      <c r="H504" s="2" t="n">
        <v>72</v>
      </c>
      <c r="I504" s="2" t="n">
        <v>19</v>
      </c>
      <c r="J504" s="2" t="n">
        <f aca="false">F504+G504+H504</f>
        <v>479</v>
      </c>
      <c r="K504" s="3" t="n">
        <f aca="false">J504/D504</f>
        <v>0.0868697859992746</v>
      </c>
    </row>
    <row r="505" customFormat="false" ht="15" hidden="false" customHeight="false" outlineLevel="0" collapsed="false">
      <c r="A505" s="2" t="s">
        <v>368</v>
      </c>
      <c r="B505" s="2" t="s">
        <v>22</v>
      </c>
      <c r="C505" s="2" t="s">
        <v>20</v>
      </c>
      <c r="D505" s="2" t="n">
        <v>2312</v>
      </c>
      <c r="E505" s="2" t="n">
        <v>3692</v>
      </c>
      <c r="F505" s="2" t="n">
        <v>56</v>
      </c>
      <c r="G505" s="2" t="n">
        <v>9</v>
      </c>
      <c r="H505" s="2" t="n">
        <v>15</v>
      </c>
      <c r="I505" s="2" t="n">
        <v>2</v>
      </c>
      <c r="J505" s="2" t="n">
        <f aca="false">F505+G505+H505</f>
        <v>80</v>
      </c>
      <c r="K505" s="3" t="n">
        <f aca="false">J505/D505</f>
        <v>0.0346020761245675</v>
      </c>
    </row>
    <row r="506" customFormat="false" ht="15" hidden="false" customHeight="false" outlineLevel="0" collapsed="false">
      <c r="A506" s="2" t="s">
        <v>369</v>
      </c>
      <c r="B506" s="2" t="s">
        <v>19</v>
      </c>
      <c r="C506" s="2" t="s">
        <v>16</v>
      </c>
      <c r="D506" s="2" t="n">
        <v>1895</v>
      </c>
      <c r="E506" s="2" t="n">
        <v>2645</v>
      </c>
      <c r="F506" s="2" t="n">
        <v>120</v>
      </c>
      <c r="G506" s="2" t="n">
        <v>24</v>
      </c>
      <c r="H506" s="2" t="n">
        <v>20</v>
      </c>
      <c r="I506" s="2" t="n">
        <v>8</v>
      </c>
      <c r="J506" s="2" t="n">
        <f aca="false">F506+G506+H506</f>
        <v>164</v>
      </c>
      <c r="K506" s="3" t="n">
        <f aca="false">J506/D506</f>
        <v>0.0865435356200528</v>
      </c>
    </row>
    <row r="507" customFormat="false" ht="15" hidden="false" customHeight="false" outlineLevel="0" collapsed="false">
      <c r="A507" s="2" t="s">
        <v>369</v>
      </c>
      <c r="B507" s="2" t="s">
        <v>26</v>
      </c>
      <c r="C507" s="2" t="s">
        <v>13</v>
      </c>
      <c r="D507" s="2" t="n">
        <v>11515</v>
      </c>
      <c r="E507" s="2" t="n">
        <v>14015</v>
      </c>
      <c r="F507" s="2" t="n">
        <v>579</v>
      </c>
      <c r="G507" s="2" t="n">
        <v>119</v>
      </c>
      <c r="H507" s="2" t="n">
        <v>146</v>
      </c>
      <c r="I507" s="2" t="n">
        <v>47</v>
      </c>
      <c r="J507" s="2" t="n">
        <f aca="false">F507+G507+H507</f>
        <v>844</v>
      </c>
      <c r="K507" s="3" t="n">
        <f aca="false">J507/D507</f>
        <v>0.0732957012592271</v>
      </c>
    </row>
    <row r="508" customFormat="false" ht="15" hidden="false" customHeight="false" outlineLevel="0" collapsed="false">
      <c r="A508" s="2" t="s">
        <v>370</v>
      </c>
      <c r="B508" s="2" t="s">
        <v>15</v>
      </c>
      <c r="C508" s="2" t="s">
        <v>18</v>
      </c>
      <c r="D508" s="2" t="n">
        <v>7099</v>
      </c>
      <c r="E508" s="2" t="n">
        <v>8527</v>
      </c>
      <c r="F508" s="2" t="n">
        <v>383</v>
      </c>
      <c r="G508" s="2" t="n">
        <v>71</v>
      </c>
      <c r="H508" s="2" t="n">
        <v>121</v>
      </c>
      <c r="I508" s="2" t="n">
        <v>20</v>
      </c>
      <c r="J508" s="2" t="n">
        <f aca="false">F508+G508+H508</f>
        <v>575</v>
      </c>
      <c r="K508" s="3" t="n">
        <f aca="false">J508/D508</f>
        <v>0.0809973235666995</v>
      </c>
    </row>
    <row r="509" customFormat="false" ht="15" hidden="false" customHeight="false" outlineLevel="0" collapsed="false">
      <c r="A509" s="2" t="s">
        <v>370</v>
      </c>
      <c r="B509" s="2" t="s">
        <v>12</v>
      </c>
      <c r="C509" s="2" t="s">
        <v>20</v>
      </c>
      <c r="D509" s="2" t="n">
        <v>2421</v>
      </c>
      <c r="E509" s="2" t="n">
        <v>2890</v>
      </c>
      <c r="F509" s="2" t="n">
        <v>93</v>
      </c>
      <c r="G509" s="2" t="n">
        <v>9</v>
      </c>
      <c r="H509" s="2" t="n">
        <v>30</v>
      </c>
      <c r="I509" s="2" t="n">
        <v>8</v>
      </c>
      <c r="J509" s="2" t="n">
        <f aca="false">F509+G509+H509</f>
        <v>132</v>
      </c>
      <c r="K509" s="3" t="n">
        <f aca="false">J509/D509</f>
        <v>0.0545229244114003</v>
      </c>
    </row>
    <row r="510" customFormat="false" ht="15" hidden="false" customHeight="false" outlineLevel="0" collapsed="false">
      <c r="A510" s="2" t="s">
        <v>370</v>
      </c>
      <c r="B510" s="2" t="s">
        <v>15</v>
      </c>
      <c r="C510" s="2" t="s">
        <v>20</v>
      </c>
      <c r="D510" s="2" t="n">
        <v>6460</v>
      </c>
      <c r="E510" s="2" t="n">
        <v>8885</v>
      </c>
      <c r="F510" s="2" t="n">
        <v>263</v>
      </c>
      <c r="G510" s="2" t="n">
        <v>44</v>
      </c>
      <c r="H510" s="2" t="n">
        <v>61</v>
      </c>
      <c r="I510" s="2" t="n">
        <v>22</v>
      </c>
      <c r="J510" s="2" t="n">
        <f aca="false">F510+G510+H510</f>
        <v>368</v>
      </c>
      <c r="K510" s="3" t="n">
        <f aca="false">J510/D510</f>
        <v>0.0569659442724458</v>
      </c>
    </row>
    <row r="511" customFormat="false" ht="15" hidden="false" customHeight="false" outlineLevel="0" collapsed="false">
      <c r="A511" s="2" t="s">
        <v>371</v>
      </c>
      <c r="B511" s="2" t="s">
        <v>15</v>
      </c>
      <c r="C511" s="2" t="s">
        <v>23</v>
      </c>
      <c r="D511" s="2" t="n">
        <v>8119</v>
      </c>
      <c r="E511" s="2" t="n">
        <v>12838</v>
      </c>
      <c r="F511" s="2" t="n">
        <v>137</v>
      </c>
      <c r="G511" s="2" t="n">
        <v>25</v>
      </c>
      <c r="H511" s="2" t="n">
        <v>27</v>
      </c>
      <c r="I511" s="2" t="n">
        <v>7</v>
      </c>
      <c r="J511" s="2" t="n">
        <f aca="false">F511+G511+H511</f>
        <v>189</v>
      </c>
      <c r="K511" s="3" t="n">
        <f aca="false">J511/D511</f>
        <v>0.0232787289075009</v>
      </c>
    </row>
    <row r="512" customFormat="false" ht="15" hidden="false" customHeight="false" outlineLevel="0" collapsed="false">
      <c r="A512" s="2" t="s">
        <v>371</v>
      </c>
      <c r="B512" s="2" t="s">
        <v>19</v>
      </c>
      <c r="C512" s="2" t="s">
        <v>16</v>
      </c>
      <c r="D512" s="2" t="n">
        <v>2316</v>
      </c>
      <c r="E512" s="2" t="n">
        <v>3030</v>
      </c>
      <c r="F512" s="2" t="n">
        <v>134</v>
      </c>
      <c r="G512" s="2" t="n">
        <v>14</v>
      </c>
      <c r="H512" s="2" t="n">
        <v>36</v>
      </c>
      <c r="I512" s="2" t="n">
        <v>9</v>
      </c>
      <c r="J512" s="2" t="n">
        <f aca="false">F512+G512+H512</f>
        <v>184</v>
      </c>
      <c r="K512" s="3" t="n">
        <f aca="false">J512/D512</f>
        <v>0.079447322970639</v>
      </c>
    </row>
    <row r="513" customFormat="false" ht="15" hidden="false" customHeight="false" outlineLevel="0" collapsed="false">
      <c r="A513" s="2" t="s">
        <v>372</v>
      </c>
      <c r="B513" s="2" t="s">
        <v>15</v>
      </c>
      <c r="C513" s="2" t="s">
        <v>13</v>
      </c>
      <c r="D513" s="2" t="n">
        <v>1034</v>
      </c>
      <c r="E513" s="2" t="n">
        <v>1289</v>
      </c>
      <c r="F513" s="2" t="n">
        <v>47</v>
      </c>
      <c r="G513" s="2" t="n">
        <v>4</v>
      </c>
      <c r="H513" s="2" t="n">
        <v>13</v>
      </c>
      <c r="I513" s="2" t="n">
        <v>2</v>
      </c>
      <c r="J513" s="2" t="n">
        <f aca="false">F513+G513+H513</f>
        <v>64</v>
      </c>
      <c r="K513" s="3" t="n">
        <f aca="false">J513/D513</f>
        <v>0.0618955512572534</v>
      </c>
    </row>
    <row r="514" customFormat="false" ht="15" hidden="false" customHeight="false" outlineLevel="0" collapsed="false">
      <c r="A514" s="2" t="s">
        <v>373</v>
      </c>
      <c r="B514" s="2" t="s">
        <v>26</v>
      </c>
      <c r="C514" s="2" t="s">
        <v>18</v>
      </c>
      <c r="D514" s="2" t="n">
        <v>3260</v>
      </c>
      <c r="E514" s="2" t="n">
        <v>4116</v>
      </c>
      <c r="F514" s="2" t="n">
        <v>173</v>
      </c>
      <c r="G514" s="2" t="n">
        <v>38</v>
      </c>
      <c r="H514" s="2" t="n">
        <v>62</v>
      </c>
      <c r="I514" s="2" t="n">
        <v>15</v>
      </c>
      <c r="J514" s="2" t="n">
        <f aca="false">F514+G514+H514</f>
        <v>273</v>
      </c>
      <c r="K514" s="3" t="n">
        <f aca="false">J514/D514</f>
        <v>0.0837423312883436</v>
      </c>
    </row>
    <row r="515" customFormat="false" ht="15" hidden="false" customHeight="false" outlineLevel="0" collapsed="false">
      <c r="A515" s="2" t="s">
        <v>374</v>
      </c>
      <c r="B515" s="2" t="s">
        <v>22</v>
      </c>
      <c r="C515" s="2" t="s">
        <v>13</v>
      </c>
      <c r="D515" s="2" t="n">
        <v>4005</v>
      </c>
      <c r="E515" s="2" t="n">
        <v>5356</v>
      </c>
      <c r="F515" s="2" t="n">
        <v>137</v>
      </c>
      <c r="G515" s="2" t="n">
        <v>12</v>
      </c>
      <c r="H515" s="2" t="n">
        <v>63</v>
      </c>
      <c r="I515" s="2" t="n">
        <v>9</v>
      </c>
      <c r="J515" s="2" t="n">
        <f aca="false">F515+G515+H515</f>
        <v>212</v>
      </c>
      <c r="K515" s="3" t="n">
        <f aca="false">J515/D515</f>
        <v>0.0529338327091136</v>
      </c>
    </row>
    <row r="516" customFormat="false" ht="15" hidden="false" customHeight="false" outlineLevel="0" collapsed="false">
      <c r="A516" s="2" t="s">
        <v>374</v>
      </c>
      <c r="B516" s="2" t="s">
        <v>12</v>
      </c>
      <c r="C516" s="2" t="s">
        <v>23</v>
      </c>
      <c r="D516" s="2" t="n">
        <v>2931</v>
      </c>
      <c r="E516" s="2" t="n">
        <v>4588</v>
      </c>
      <c r="F516" s="2" t="n">
        <v>65</v>
      </c>
      <c r="G516" s="2" t="n">
        <v>10</v>
      </c>
      <c r="H516" s="2" t="n">
        <v>17</v>
      </c>
      <c r="I516" s="2" t="n">
        <v>4</v>
      </c>
      <c r="J516" s="2" t="n">
        <f aca="false">F516+G516+H516</f>
        <v>92</v>
      </c>
      <c r="K516" s="3" t="n">
        <f aca="false">J516/D516</f>
        <v>0.0313886045718185</v>
      </c>
    </row>
    <row r="517" customFormat="false" ht="15" hidden="false" customHeight="false" outlineLevel="0" collapsed="false">
      <c r="A517" s="2" t="s">
        <v>375</v>
      </c>
      <c r="B517" s="2" t="s">
        <v>22</v>
      </c>
      <c r="C517" s="2" t="s">
        <v>23</v>
      </c>
      <c r="D517" s="2" t="n">
        <v>718</v>
      </c>
      <c r="E517" s="2" t="n">
        <v>1127</v>
      </c>
      <c r="F517" s="2" t="n">
        <v>26</v>
      </c>
      <c r="G517" s="2" t="n">
        <v>4</v>
      </c>
      <c r="H517" s="2" t="n">
        <v>13</v>
      </c>
      <c r="I517" s="2" t="n">
        <v>3</v>
      </c>
      <c r="J517" s="2" t="n">
        <f aca="false">F517+G517+H517</f>
        <v>43</v>
      </c>
      <c r="K517" s="3" t="n">
        <f aca="false">J517/D517</f>
        <v>0.0598885793871866</v>
      </c>
    </row>
    <row r="518" customFormat="false" ht="15" hidden="false" customHeight="false" outlineLevel="0" collapsed="false">
      <c r="A518" s="2" t="s">
        <v>376</v>
      </c>
      <c r="B518" s="2" t="s">
        <v>15</v>
      </c>
      <c r="C518" s="2" t="s">
        <v>23</v>
      </c>
      <c r="D518" s="2" t="n">
        <v>11515</v>
      </c>
      <c r="E518" s="2" t="n">
        <v>13969</v>
      </c>
      <c r="F518" s="2" t="n">
        <v>522</v>
      </c>
      <c r="G518" s="2" t="n">
        <v>62</v>
      </c>
      <c r="H518" s="2" t="n">
        <v>116</v>
      </c>
      <c r="I518" s="2" t="n">
        <v>37</v>
      </c>
      <c r="J518" s="2" t="n">
        <f aca="false">F518+G518+H518</f>
        <v>700</v>
      </c>
      <c r="K518" s="3" t="n">
        <f aca="false">J518/D518</f>
        <v>0.060790273556231</v>
      </c>
    </row>
    <row r="519" customFormat="false" ht="15" hidden="false" customHeight="false" outlineLevel="0" collapsed="false">
      <c r="A519" s="2" t="s">
        <v>377</v>
      </c>
      <c r="B519" s="2" t="s">
        <v>15</v>
      </c>
      <c r="C519" s="2" t="s">
        <v>13</v>
      </c>
      <c r="D519" s="2" t="n">
        <v>4425</v>
      </c>
      <c r="E519" s="2" t="n">
        <v>6994</v>
      </c>
      <c r="F519" s="2" t="n">
        <v>151</v>
      </c>
      <c r="G519" s="2" t="n">
        <v>29</v>
      </c>
      <c r="H519" s="2" t="n">
        <v>50</v>
      </c>
      <c r="I519" s="2" t="n">
        <v>18</v>
      </c>
      <c r="J519" s="2" t="n">
        <f aca="false">F519+G519+H519</f>
        <v>230</v>
      </c>
      <c r="K519" s="3" t="n">
        <f aca="false">J519/D519</f>
        <v>0.0519774011299435</v>
      </c>
    </row>
    <row r="520" customFormat="false" ht="15" hidden="false" customHeight="false" outlineLevel="0" collapsed="false">
      <c r="A520" s="2" t="s">
        <v>378</v>
      </c>
      <c r="B520" s="2" t="s">
        <v>15</v>
      </c>
      <c r="C520" s="2" t="s">
        <v>18</v>
      </c>
      <c r="D520" s="2" t="n">
        <v>4088</v>
      </c>
      <c r="E520" s="2" t="n">
        <v>5254</v>
      </c>
      <c r="F520" s="2" t="n">
        <v>229</v>
      </c>
      <c r="G520" s="2" t="n">
        <v>53</v>
      </c>
      <c r="H520" s="2" t="n">
        <v>77</v>
      </c>
      <c r="I520" s="2" t="n">
        <v>9</v>
      </c>
      <c r="J520" s="2" t="n">
        <f aca="false">F520+G520+H520</f>
        <v>359</v>
      </c>
      <c r="K520" s="3" t="n">
        <f aca="false">J520/D520</f>
        <v>0.0878180039138943</v>
      </c>
    </row>
    <row r="521" customFormat="false" ht="15" hidden="false" customHeight="false" outlineLevel="0" collapsed="false">
      <c r="A521" s="2" t="s">
        <v>378</v>
      </c>
      <c r="B521" s="2" t="s">
        <v>15</v>
      </c>
      <c r="C521" s="2" t="s">
        <v>16</v>
      </c>
      <c r="D521" s="2" t="n">
        <v>8037</v>
      </c>
      <c r="E521" s="2" t="n">
        <v>9499</v>
      </c>
      <c r="F521" s="2" t="n">
        <v>315</v>
      </c>
      <c r="G521" s="2" t="n">
        <v>56</v>
      </c>
      <c r="H521" s="2" t="n">
        <v>79</v>
      </c>
      <c r="I521" s="2" t="n">
        <v>15</v>
      </c>
      <c r="J521" s="2" t="n">
        <f aca="false">F521+G521+H521</f>
        <v>450</v>
      </c>
      <c r="K521" s="3" t="n">
        <f aca="false">J521/D521</f>
        <v>0.0559910414333707</v>
      </c>
    </row>
    <row r="522" customFormat="false" ht="15" hidden="false" customHeight="false" outlineLevel="0" collapsed="false">
      <c r="A522" s="2" t="s">
        <v>378</v>
      </c>
      <c r="B522" s="2" t="s">
        <v>15</v>
      </c>
      <c r="C522" s="2" t="s">
        <v>20</v>
      </c>
      <c r="D522" s="2" t="n">
        <v>11617</v>
      </c>
      <c r="E522" s="2" t="n">
        <v>16905</v>
      </c>
      <c r="F522" s="2" t="n">
        <v>487</v>
      </c>
      <c r="G522" s="2" t="n">
        <v>45</v>
      </c>
      <c r="H522" s="2" t="n">
        <v>280</v>
      </c>
      <c r="I522" s="2" t="n">
        <v>37</v>
      </c>
      <c r="J522" s="2" t="n">
        <f aca="false">F522+G522+H522</f>
        <v>812</v>
      </c>
      <c r="K522" s="3" t="n">
        <f aca="false">J522/D522</f>
        <v>0.0698975639149522</v>
      </c>
    </row>
    <row r="523" customFormat="false" ht="15" hidden="false" customHeight="false" outlineLevel="0" collapsed="false">
      <c r="A523" s="2" t="s">
        <v>379</v>
      </c>
      <c r="B523" s="2" t="s">
        <v>15</v>
      </c>
      <c r="C523" s="2" t="s">
        <v>23</v>
      </c>
      <c r="D523" s="2" t="n">
        <v>3032</v>
      </c>
      <c r="E523" s="2" t="n">
        <v>3964</v>
      </c>
      <c r="F523" s="2" t="n">
        <v>143</v>
      </c>
      <c r="G523" s="2" t="n">
        <v>14</v>
      </c>
      <c r="H523" s="2" t="n">
        <v>54</v>
      </c>
      <c r="I523" s="2" t="n">
        <v>11</v>
      </c>
      <c r="J523" s="2" t="n">
        <f aca="false">F523+G523+H523</f>
        <v>211</v>
      </c>
      <c r="K523" s="3" t="n">
        <f aca="false">J523/D523</f>
        <v>0.0695910290237467</v>
      </c>
    </row>
    <row r="524" customFormat="false" ht="15" hidden="false" customHeight="false" outlineLevel="0" collapsed="false">
      <c r="A524" s="2" t="s">
        <v>380</v>
      </c>
      <c r="B524" s="2" t="s">
        <v>15</v>
      </c>
      <c r="C524" s="2" t="s">
        <v>16</v>
      </c>
      <c r="D524" s="2" t="n">
        <v>7691</v>
      </c>
      <c r="E524" s="2" t="n">
        <v>9964</v>
      </c>
      <c r="F524" s="2" t="n">
        <v>445</v>
      </c>
      <c r="G524" s="2" t="n">
        <v>81</v>
      </c>
      <c r="H524" s="2" t="n">
        <v>148</v>
      </c>
      <c r="I524" s="2" t="n">
        <v>16</v>
      </c>
      <c r="J524" s="2" t="n">
        <f aca="false">F524+G524+H524</f>
        <v>674</v>
      </c>
      <c r="K524" s="3" t="n">
        <f aca="false">J524/D524</f>
        <v>0.0876348979326485</v>
      </c>
    </row>
    <row r="525" customFormat="false" ht="15" hidden="false" customHeight="false" outlineLevel="0" collapsed="false">
      <c r="A525" s="2" t="s">
        <v>381</v>
      </c>
      <c r="B525" s="2" t="s">
        <v>15</v>
      </c>
      <c r="C525" s="2" t="s">
        <v>18</v>
      </c>
      <c r="D525" s="2" t="n">
        <v>4189</v>
      </c>
      <c r="E525" s="2" t="n">
        <v>5624</v>
      </c>
      <c r="F525" s="2" t="n">
        <v>205</v>
      </c>
      <c r="G525" s="2" t="n">
        <v>18</v>
      </c>
      <c r="H525" s="2" t="n">
        <v>116</v>
      </c>
      <c r="I525" s="2" t="n">
        <v>8</v>
      </c>
      <c r="J525" s="2" t="n">
        <f aca="false">F525+G525+H525</f>
        <v>339</v>
      </c>
      <c r="K525" s="3" t="n">
        <f aca="false">J525/D525</f>
        <v>0.0809262353783719</v>
      </c>
    </row>
    <row r="526" customFormat="false" ht="15" hidden="false" customHeight="false" outlineLevel="0" collapsed="false">
      <c r="A526" s="2" t="s">
        <v>381</v>
      </c>
      <c r="B526" s="2" t="s">
        <v>22</v>
      </c>
      <c r="C526" s="2" t="s">
        <v>16</v>
      </c>
      <c r="D526" s="2" t="n">
        <v>3209</v>
      </c>
      <c r="E526" s="2" t="n">
        <v>4739</v>
      </c>
      <c r="F526" s="2" t="n">
        <v>123</v>
      </c>
      <c r="G526" s="2" t="n">
        <v>26</v>
      </c>
      <c r="H526" s="2" t="n">
        <v>39</v>
      </c>
      <c r="I526" s="2" t="n">
        <v>7</v>
      </c>
      <c r="J526" s="2" t="n">
        <f aca="false">F526+G526+H526</f>
        <v>188</v>
      </c>
      <c r="K526" s="3" t="n">
        <f aca="false">J526/D526</f>
        <v>0.0585852290433157</v>
      </c>
    </row>
    <row r="527" customFormat="false" ht="15" hidden="false" customHeight="false" outlineLevel="0" collapsed="false">
      <c r="A527" s="2" t="s">
        <v>382</v>
      </c>
      <c r="B527" s="2" t="s">
        <v>15</v>
      </c>
      <c r="C527" s="2" t="s">
        <v>16</v>
      </c>
      <c r="D527" s="2" t="n">
        <v>4878</v>
      </c>
      <c r="E527" s="2" t="n">
        <v>7359</v>
      </c>
      <c r="F527" s="2" t="n">
        <v>90</v>
      </c>
      <c r="G527" s="2" t="n">
        <v>15</v>
      </c>
      <c r="H527" s="2" t="n">
        <v>35</v>
      </c>
      <c r="I527" s="2" t="n">
        <v>4</v>
      </c>
      <c r="J527" s="2" t="n">
        <f aca="false">F527+G527+H527</f>
        <v>140</v>
      </c>
      <c r="K527" s="3" t="n">
        <f aca="false">J527/D527</f>
        <v>0.02870028700287</v>
      </c>
    </row>
    <row r="528" customFormat="false" ht="15" hidden="false" customHeight="false" outlineLevel="0" collapsed="false">
      <c r="A528" s="2" t="s">
        <v>383</v>
      </c>
      <c r="B528" s="2" t="s">
        <v>12</v>
      </c>
      <c r="C528" s="2" t="s">
        <v>13</v>
      </c>
      <c r="D528" s="2" t="n">
        <v>2135</v>
      </c>
      <c r="E528" s="2" t="n">
        <v>3345</v>
      </c>
      <c r="F528" s="2" t="n">
        <v>32</v>
      </c>
      <c r="G528" s="2" t="n">
        <v>4</v>
      </c>
      <c r="H528" s="2" t="n">
        <v>8</v>
      </c>
      <c r="I528" s="2" t="n">
        <v>3</v>
      </c>
      <c r="J528" s="2" t="n">
        <f aca="false">F528+G528+H528</f>
        <v>44</v>
      </c>
      <c r="K528" s="3" t="n">
        <f aca="false">J528/D528</f>
        <v>0.0206088992974239</v>
      </c>
    </row>
    <row r="529" customFormat="false" ht="15" hidden="false" customHeight="false" outlineLevel="0" collapsed="false">
      <c r="A529" s="2" t="s">
        <v>384</v>
      </c>
      <c r="B529" s="2" t="s">
        <v>15</v>
      </c>
      <c r="C529" s="2" t="s">
        <v>13</v>
      </c>
      <c r="D529" s="2" t="n">
        <v>7008</v>
      </c>
      <c r="E529" s="2" t="n">
        <v>9487</v>
      </c>
      <c r="F529" s="2" t="n">
        <v>286</v>
      </c>
      <c r="G529" s="2" t="n">
        <v>43</v>
      </c>
      <c r="H529" s="2" t="n">
        <v>58</v>
      </c>
      <c r="I529" s="2" t="n">
        <v>12</v>
      </c>
      <c r="J529" s="2" t="n">
        <f aca="false">F529+G529+H529</f>
        <v>387</v>
      </c>
      <c r="K529" s="3" t="n">
        <f aca="false">J529/D529</f>
        <v>0.055222602739726</v>
      </c>
    </row>
    <row r="530" customFormat="false" ht="15" hidden="false" customHeight="false" outlineLevel="0" collapsed="false">
      <c r="A530" s="2" t="s">
        <v>385</v>
      </c>
      <c r="B530" s="2" t="s">
        <v>22</v>
      </c>
      <c r="C530" s="2" t="s">
        <v>13</v>
      </c>
      <c r="D530" s="2" t="n">
        <v>3367</v>
      </c>
      <c r="E530" s="2" t="n">
        <v>5015</v>
      </c>
      <c r="F530" s="2" t="n">
        <v>61</v>
      </c>
      <c r="G530" s="2" t="n">
        <v>8</v>
      </c>
      <c r="H530" s="2" t="n">
        <v>16</v>
      </c>
      <c r="I530" s="2" t="n">
        <v>5</v>
      </c>
      <c r="J530" s="2" t="n">
        <f aca="false">F530+G530+H530</f>
        <v>85</v>
      </c>
      <c r="K530" s="3" t="n">
        <f aca="false">J530/D530</f>
        <v>0.0252450252450252</v>
      </c>
    </row>
    <row r="531" customFormat="false" ht="15" hidden="false" customHeight="false" outlineLevel="0" collapsed="false">
      <c r="A531" s="2" t="s">
        <v>386</v>
      </c>
      <c r="B531" s="2" t="s">
        <v>26</v>
      </c>
      <c r="C531" s="2" t="s">
        <v>13</v>
      </c>
      <c r="D531" s="2" t="n">
        <v>9411</v>
      </c>
      <c r="E531" s="2" t="n">
        <v>13813</v>
      </c>
      <c r="F531" s="2" t="n">
        <v>294</v>
      </c>
      <c r="G531" s="2" t="n">
        <v>26</v>
      </c>
      <c r="H531" s="2" t="n">
        <v>151</v>
      </c>
      <c r="I531" s="2" t="n">
        <v>13</v>
      </c>
      <c r="J531" s="2" t="n">
        <f aca="false">F531+G531+H531</f>
        <v>471</v>
      </c>
      <c r="K531" s="3" t="n">
        <f aca="false">J531/D531</f>
        <v>0.0500478163850813</v>
      </c>
    </row>
    <row r="532" customFormat="false" ht="15" hidden="false" customHeight="false" outlineLevel="0" collapsed="false">
      <c r="A532" s="2" t="s">
        <v>387</v>
      </c>
      <c r="B532" s="2" t="s">
        <v>15</v>
      </c>
      <c r="C532" s="2" t="s">
        <v>16</v>
      </c>
      <c r="D532" s="2" t="n">
        <v>6504</v>
      </c>
      <c r="E532" s="2" t="n">
        <v>9004</v>
      </c>
      <c r="F532" s="2" t="n">
        <v>296</v>
      </c>
      <c r="G532" s="2" t="n">
        <v>43</v>
      </c>
      <c r="H532" s="2" t="n">
        <v>132</v>
      </c>
      <c r="I532" s="2" t="n">
        <v>16</v>
      </c>
      <c r="J532" s="2" t="n">
        <f aca="false">F532+G532+H532</f>
        <v>471</v>
      </c>
      <c r="K532" s="3" t="n">
        <f aca="false">J532/D532</f>
        <v>0.0724169741697417</v>
      </c>
    </row>
    <row r="533" customFormat="false" ht="15" hidden="false" customHeight="false" outlineLevel="0" collapsed="false">
      <c r="A533" s="2" t="s">
        <v>387</v>
      </c>
      <c r="B533" s="2" t="s">
        <v>15</v>
      </c>
      <c r="C533" s="2" t="s">
        <v>20</v>
      </c>
      <c r="D533" s="2" t="n">
        <v>6039</v>
      </c>
      <c r="E533" s="2" t="n">
        <v>8742</v>
      </c>
      <c r="F533" s="2" t="n">
        <v>117</v>
      </c>
      <c r="G533" s="2" t="n">
        <v>8</v>
      </c>
      <c r="H533" s="2" t="n">
        <v>34</v>
      </c>
      <c r="I533" s="2" t="n">
        <v>5</v>
      </c>
      <c r="J533" s="2" t="n">
        <f aca="false">F533+G533+H533</f>
        <v>159</v>
      </c>
      <c r="K533" s="3" t="n">
        <f aca="false">J533/D533</f>
        <v>0.0263288623944362</v>
      </c>
    </row>
    <row r="534" customFormat="false" ht="15" hidden="false" customHeight="false" outlineLevel="0" collapsed="false">
      <c r="A534" s="2" t="s">
        <v>388</v>
      </c>
      <c r="B534" s="2" t="s">
        <v>15</v>
      </c>
      <c r="C534" s="2" t="s">
        <v>20</v>
      </c>
      <c r="D534" s="2" t="n">
        <v>7737</v>
      </c>
      <c r="E534" s="2" t="n">
        <v>9824</v>
      </c>
      <c r="F534" s="2" t="n">
        <v>328</v>
      </c>
      <c r="G534" s="2" t="n">
        <v>47</v>
      </c>
      <c r="H534" s="2" t="n">
        <v>143</v>
      </c>
      <c r="I534" s="2" t="n">
        <v>32</v>
      </c>
      <c r="J534" s="2" t="n">
        <f aca="false">F534+G534+H534</f>
        <v>518</v>
      </c>
      <c r="K534" s="3" t="n">
        <f aca="false">J534/D534</f>
        <v>0.0669510146051441</v>
      </c>
    </row>
    <row r="535" customFormat="false" ht="15" hidden="false" customHeight="false" outlineLevel="0" collapsed="false">
      <c r="A535" s="2" t="s">
        <v>389</v>
      </c>
      <c r="B535" s="2" t="s">
        <v>15</v>
      </c>
      <c r="C535" s="2" t="s">
        <v>16</v>
      </c>
      <c r="D535" s="2" t="n">
        <v>5808</v>
      </c>
      <c r="E535" s="2" t="n">
        <v>7181</v>
      </c>
      <c r="F535" s="2" t="n">
        <v>155</v>
      </c>
      <c r="G535" s="2" t="n">
        <v>20</v>
      </c>
      <c r="H535" s="2" t="n">
        <v>48</v>
      </c>
      <c r="I535" s="2" t="n">
        <v>14</v>
      </c>
      <c r="J535" s="2" t="n">
        <f aca="false">F535+G535+H535</f>
        <v>223</v>
      </c>
      <c r="K535" s="3" t="n">
        <f aca="false">J535/D535</f>
        <v>0.0383953168044077</v>
      </c>
    </row>
    <row r="536" customFormat="false" ht="15" hidden="false" customHeight="false" outlineLevel="0" collapsed="false">
      <c r="A536" s="2" t="s">
        <v>390</v>
      </c>
      <c r="B536" s="2" t="s">
        <v>26</v>
      </c>
      <c r="C536" s="2" t="s">
        <v>16</v>
      </c>
      <c r="D536" s="2" t="n">
        <v>9282</v>
      </c>
      <c r="E536" s="2" t="n">
        <v>14575</v>
      </c>
      <c r="F536" s="2" t="n">
        <v>480</v>
      </c>
      <c r="G536" s="2" t="n">
        <v>46</v>
      </c>
      <c r="H536" s="2" t="n">
        <v>189</v>
      </c>
      <c r="I536" s="2" t="n">
        <v>35</v>
      </c>
      <c r="J536" s="2" t="n">
        <f aca="false">F536+G536+H536</f>
        <v>715</v>
      </c>
      <c r="K536" s="3" t="n">
        <f aca="false">J536/D536</f>
        <v>0.07703081232493</v>
      </c>
    </row>
    <row r="537" customFormat="false" ht="15" hidden="false" customHeight="false" outlineLevel="0" collapsed="false">
      <c r="A537" s="2" t="s">
        <v>391</v>
      </c>
      <c r="B537" s="2" t="s">
        <v>12</v>
      </c>
      <c r="C537" s="2" t="s">
        <v>16</v>
      </c>
      <c r="D537" s="2" t="n">
        <v>1530</v>
      </c>
      <c r="E537" s="2" t="n">
        <v>2438</v>
      </c>
      <c r="F537" s="2" t="n">
        <v>78</v>
      </c>
      <c r="G537" s="2" t="n">
        <v>14</v>
      </c>
      <c r="H537" s="2" t="n">
        <v>16</v>
      </c>
      <c r="I537" s="2" t="n">
        <v>3</v>
      </c>
      <c r="J537" s="2" t="n">
        <f aca="false">F537+G537+H537</f>
        <v>108</v>
      </c>
      <c r="K537" s="3" t="n">
        <f aca="false">J537/D537</f>
        <v>0.0705882352941177</v>
      </c>
    </row>
    <row r="538" customFormat="false" ht="15" hidden="false" customHeight="false" outlineLevel="0" collapsed="false">
      <c r="A538" s="2" t="s">
        <v>391</v>
      </c>
      <c r="B538" s="2" t="s">
        <v>26</v>
      </c>
      <c r="C538" s="2" t="s">
        <v>18</v>
      </c>
      <c r="D538" s="2" t="n">
        <v>12069</v>
      </c>
      <c r="E538" s="2" t="n">
        <v>17806</v>
      </c>
      <c r="F538" s="2" t="n">
        <v>377</v>
      </c>
      <c r="G538" s="2" t="n">
        <v>46</v>
      </c>
      <c r="H538" s="2" t="n">
        <v>112</v>
      </c>
      <c r="I538" s="2" t="n">
        <v>34</v>
      </c>
      <c r="J538" s="2" t="n">
        <f aca="false">F538+G538+H538</f>
        <v>535</v>
      </c>
      <c r="K538" s="3" t="n">
        <f aca="false">J538/D538</f>
        <v>0.0443284447758721</v>
      </c>
    </row>
    <row r="539" customFormat="false" ht="15" hidden="false" customHeight="false" outlineLevel="0" collapsed="false">
      <c r="A539" s="2" t="s">
        <v>392</v>
      </c>
      <c r="B539" s="2" t="s">
        <v>22</v>
      </c>
      <c r="C539" s="2" t="s">
        <v>13</v>
      </c>
      <c r="D539" s="2" t="n">
        <v>4198</v>
      </c>
      <c r="E539" s="2" t="n">
        <v>5077</v>
      </c>
      <c r="F539" s="2" t="n">
        <v>162</v>
      </c>
      <c r="G539" s="2" t="n">
        <v>18</v>
      </c>
      <c r="H539" s="2" t="n">
        <v>64</v>
      </c>
      <c r="I539" s="2" t="n">
        <v>18</v>
      </c>
      <c r="J539" s="2" t="n">
        <f aca="false">F539+G539+H539</f>
        <v>244</v>
      </c>
      <c r="K539" s="3" t="n">
        <f aca="false">J539/D539</f>
        <v>0.0581229156741305</v>
      </c>
    </row>
    <row r="540" customFormat="false" ht="15" hidden="false" customHeight="false" outlineLevel="0" collapsed="false">
      <c r="A540" s="2" t="s">
        <v>392</v>
      </c>
      <c r="B540" s="2" t="s">
        <v>12</v>
      </c>
      <c r="C540" s="2" t="s">
        <v>20</v>
      </c>
      <c r="D540" s="2" t="n">
        <v>2025</v>
      </c>
      <c r="E540" s="2" t="n">
        <v>2676</v>
      </c>
      <c r="F540" s="2" t="n">
        <v>82</v>
      </c>
      <c r="G540" s="2" t="n">
        <v>7</v>
      </c>
      <c r="H540" s="2" t="n">
        <v>47</v>
      </c>
      <c r="I540" s="2" t="n">
        <v>6</v>
      </c>
      <c r="J540" s="2" t="n">
        <f aca="false">F540+G540+H540</f>
        <v>136</v>
      </c>
      <c r="K540" s="3" t="n">
        <f aca="false">J540/D540</f>
        <v>0.0671604938271605</v>
      </c>
    </row>
    <row r="541" customFormat="false" ht="15" hidden="false" customHeight="false" outlineLevel="0" collapsed="false">
      <c r="A541" s="2" t="s">
        <v>392</v>
      </c>
      <c r="B541" s="2" t="s">
        <v>26</v>
      </c>
      <c r="C541" s="2" t="s">
        <v>16</v>
      </c>
      <c r="D541" s="2" t="n">
        <v>6977</v>
      </c>
      <c r="E541" s="2" t="n">
        <v>9023</v>
      </c>
      <c r="F541" s="2" t="n">
        <v>419</v>
      </c>
      <c r="G541" s="2" t="n">
        <v>80</v>
      </c>
      <c r="H541" s="2" t="n">
        <v>84</v>
      </c>
      <c r="I541" s="2" t="n">
        <v>32</v>
      </c>
      <c r="J541" s="2" t="n">
        <f aca="false">F541+G541+H541</f>
        <v>583</v>
      </c>
      <c r="K541" s="3" t="n">
        <f aca="false">J541/D541</f>
        <v>0.0835602694567866</v>
      </c>
    </row>
    <row r="542" customFormat="false" ht="15" hidden="false" customHeight="false" outlineLevel="0" collapsed="false">
      <c r="A542" s="2" t="s">
        <v>393</v>
      </c>
      <c r="B542" s="2" t="s">
        <v>22</v>
      </c>
      <c r="C542" s="2" t="s">
        <v>20</v>
      </c>
      <c r="D542" s="2" t="n">
        <v>4540</v>
      </c>
      <c r="E542" s="2" t="n">
        <v>6363</v>
      </c>
      <c r="F542" s="2" t="n">
        <v>281</v>
      </c>
      <c r="G542" s="2" t="n">
        <v>47</v>
      </c>
      <c r="H542" s="2" t="n">
        <v>77</v>
      </c>
      <c r="I542" s="2" t="n">
        <v>11</v>
      </c>
      <c r="J542" s="2" t="n">
        <f aca="false">F542+G542+H542</f>
        <v>405</v>
      </c>
      <c r="K542" s="3" t="n">
        <f aca="false">J542/D542</f>
        <v>0.0892070484581498</v>
      </c>
    </row>
    <row r="543" customFormat="false" ht="15" hidden="false" customHeight="false" outlineLevel="0" collapsed="false">
      <c r="A543" s="2" t="s">
        <v>394</v>
      </c>
      <c r="B543" s="2" t="s">
        <v>19</v>
      </c>
      <c r="C543" s="2" t="s">
        <v>13</v>
      </c>
      <c r="D543" s="2" t="n">
        <v>3153</v>
      </c>
      <c r="E543" s="2" t="n">
        <v>4381</v>
      </c>
      <c r="F543" s="2" t="n">
        <v>89</v>
      </c>
      <c r="G543" s="2" t="n">
        <v>15</v>
      </c>
      <c r="H543" s="2" t="n">
        <v>20</v>
      </c>
      <c r="I543" s="2" t="n">
        <v>8</v>
      </c>
      <c r="J543" s="2" t="n">
        <f aca="false">F543+G543+H543</f>
        <v>124</v>
      </c>
      <c r="K543" s="3" t="n">
        <f aca="false">J543/D543</f>
        <v>0.0393276244846178</v>
      </c>
    </row>
    <row r="544" customFormat="false" ht="15" hidden="false" customHeight="false" outlineLevel="0" collapsed="false">
      <c r="A544" s="2" t="s">
        <v>395</v>
      </c>
      <c r="B544" s="2" t="s">
        <v>26</v>
      </c>
      <c r="C544" s="2" t="s">
        <v>16</v>
      </c>
      <c r="D544" s="2" t="n">
        <v>4915</v>
      </c>
      <c r="E544" s="2" t="n">
        <v>6300</v>
      </c>
      <c r="F544" s="2" t="n">
        <v>232</v>
      </c>
      <c r="G544" s="2" t="n">
        <v>29</v>
      </c>
      <c r="H544" s="2" t="n">
        <v>123</v>
      </c>
      <c r="I544" s="2" t="n">
        <v>15</v>
      </c>
      <c r="J544" s="2" t="n">
        <f aca="false">F544+G544+H544</f>
        <v>384</v>
      </c>
      <c r="K544" s="3" t="n">
        <f aca="false">J544/D544</f>
        <v>0.0781281790437436</v>
      </c>
    </row>
    <row r="545" customFormat="false" ht="15" hidden="false" customHeight="false" outlineLevel="0" collapsed="false">
      <c r="A545" s="2" t="s">
        <v>396</v>
      </c>
      <c r="B545" s="2" t="s">
        <v>22</v>
      </c>
      <c r="C545" s="2" t="s">
        <v>18</v>
      </c>
      <c r="D545" s="2" t="n">
        <v>3264</v>
      </c>
      <c r="E545" s="2" t="n">
        <v>4967</v>
      </c>
      <c r="F545" s="2" t="n">
        <v>193</v>
      </c>
      <c r="G545" s="2" t="n">
        <v>36</v>
      </c>
      <c r="H545" s="2" t="n">
        <v>61</v>
      </c>
      <c r="I545" s="2" t="n">
        <v>10</v>
      </c>
      <c r="J545" s="2" t="n">
        <f aca="false">F545+G545+H545</f>
        <v>290</v>
      </c>
      <c r="K545" s="3" t="n">
        <f aca="false">J545/D545</f>
        <v>0.0888480392156863</v>
      </c>
    </row>
    <row r="546" customFormat="false" ht="15" hidden="false" customHeight="false" outlineLevel="0" collapsed="false">
      <c r="A546" s="2" t="s">
        <v>397</v>
      </c>
      <c r="B546" s="2" t="s">
        <v>19</v>
      </c>
      <c r="C546" s="2" t="s">
        <v>20</v>
      </c>
      <c r="D546" s="2" t="n">
        <v>2409</v>
      </c>
      <c r="E546" s="2" t="n">
        <v>3813</v>
      </c>
      <c r="F546" s="2" t="n">
        <v>96</v>
      </c>
      <c r="G546" s="2" t="n">
        <v>20</v>
      </c>
      <c r="H546" s="2" t="n">
        <v>21</v>
      </c>
      <c r="I546" s="2" t="n">
        <v>9</v>
      </c>
      <c r="J546" s="2" t="n">
        <f aca="false">F546+G546+H546</f>
        <v>137</v>
      </c>
      <c r="K546" s="3" t="n">
        <f aca="false">J546/D546</f>
        <v>0.0568700705687007</v>
      </c>
    </row>
    <row r="547" customFormat="false" ht="15" hidden="false" customHeight="false" outlineLevel="0" collapsed="false">
      <c r="A547" s="2" t="s">
        <v>398</v>
      </c>
      <c r="B547" s="2" t="s">
        <v>15</v>
      </c>
      <c r="C547" s="2" t="s">
        <v>18</v>
      </c>
      <c r="D547" s="2" t="n">
        <v>6375</v>
      </c>
      <c r="E547" s="2" t="n">
        <v>8730</v>
      </c>
      <c r="F547" s="2" t="n">
        <v>187</v>
      </c>
      <c r="G547" s="2" t="n">
        <v>29</v>
      </c>
      <c r="H547" s="2" t="n">
        <v>76</v>
      </c>
      <c r="I547" s="2" t="n">
        <v>18</v>
      </c>
      <c r="J547" s="2" t="n">
        <f aca="false">F547+G547+H547</f>
        <v>292</v>
      </c>
      <c r="K547" s="3" t="n">
        <f aca="false">J547/D547</f>
        <v>0.0458039215686275</v>
      </c>
    </row>
    <row r="548" customFormat="false" ht="15" hidden="false" customHeight="false" outlineLevel="0" collapsed="false">
      <c r="A548" s="2" t="s">
        <v>399</v>
      </c>
      <c r="B548" s="2" t="s">
        <v>15</v>
      </c>
      <c r="C548" s="2" t="s">
        <v>18</v>
      </c>
      <c r="D548" s="2" t="n">
        <v>5513</v>
      </c>
      <c r="E548" s="2" t="n">
        <v>6490</v>
      </c>
      <c r="F548" s="2" t="n">
        <v>236</v>
      </c>
      <c r="G548" s="2" t="n">
        <v>20</v>
      </c>
      <c r="H548" s="2" t="n">
        <v>115</v>
      </c>
      <c r="I548" s="2" t="n">
        <v>11</v>
      </c>
      <c r="J548" s="2" t="n">
        <f aca="false">F548+G548+H548</f>
        <v>371</v>
      </c>
      <c r="K548" s="3" t="n">
        <f aca="false">J548/D548</f>
        <v>0.067295483402866</v>
      </c>
    </row>
    <row r="549" customFormat="false" ht="15" hidden="false" customHeight="false" outlineLevel="0" collapsed="false">
      <c r="A549" s="2" t="s">
        <v>400</v>
      </c>
      <c r="B549" s="2" t="s">
        <v>15</v>
      </c>
      <c r="C549" s="2" t="s">
        <v>20</v>
      </c>
      <c r="D549" s="2" t="n">
        <v>4072</v>
      </c>
      <c r="E549" s="2" t="n">
        <v>5616</v>
      </c>
      <c r="F549" s="2" t="n">
        <v>72</v>
      </c>
      <c r="G549" s="2" t="n">
        <v>11</v>
      </c>
      <c r="H549" s="2" t="n">
        <v>30</v>
      </c>
      <c r="I549" s="2" t="n">
        <v>9</v>
      </c>
      <c r="J549" s="2" t="n">
        <f aca="false">F549+G549+H549</f>
        <v>113</v>
      </c>
      <c r="K549" s="3" t="n">
        <f aca="false">J549/D549</f>
        <v>0.0277504911591356</v>
      </c>
    </row>
    <row r="550" customFormat="false" ht="15" hidden="false" customHeight="false" outlineLevel="0" collapsed="false">
      <c r="A550" s="2" t="s">
        <v>401</v>
      </c>
      <c r="B550" s="2" t="s">
        <v>12</v>
      </c>
      <c r="C550" s="2" t="s">
        <v>20</v>
      </c>
      <c r="D550" s="2" t="n">
        <v>2625</v>
      </c>
      <c r="E550" s="2" t="n">
        <v>3168</v>
      </c>
      <c r="F550" s="2" t="n">
        <v>42</v>
      </c>
      <c r="G550" s="2" t="n">
        <v>4</v>
      </c>
      <c r="H550" s="2" t="n">
        <v>13</v>
      </c>
      <c r="I550" s="2" t="n">
        <v>3</v>
      </c>
      <c r="J550" s="2" t="n">
        <f aca="false">F550+G550+H550</f>
        <v>59</v>
      </c>
      <c r="K550" s="3" t="n">
        <f aca="false">J550/D550</f>
        <v>0.0224761904761905</v>
      </c>
    </row>
    <row r="551" customFormat="false" ht="15" hidden="false" customHeight="false" outlineLevel="0" collapsed="false">
      <c r="A551" s="2" t="s">
        <v>402</v>
      </c>
      <c r="B551" s="2" t="s">
        <v>12</v>
      </c>
      <c r="C551" s="2" t="s">
        <v>18</v>
      </c>
      <c r="D551" s="2" t="n">
        <v>2561</v>
      </c>
      <c r="E551" s="2" t="n">
        <v>3214</v>
      </c>
      <c r="F551" s="2" t="n">
        <v>107</v>
      </c>
      <c r="G551" s="2" t="n">
        <v>13</v>
      </c>
      <c r="H551" s="2" t="n">
        <v>36</v>
      </c>
      <c r="I551" s="2" t="n">
        <v>3</v>
      </c>
      <c r="J551" s="2" t="n">
        <f aca="false">F551+G551+H551</f>
        <v>156</v>
      </c>
      <c r="K551" s="3" t="n">
        <f aca="false">J551/D551</f>
        <v>0.0609137055837564</v>
      </c>
    </row>
    <row r="552" customFormat="false" ht="15" hidden="false" customHeight="false" outlineLevel="0" collapsed="false">
      <c r="A552" s="2" t="s">
        <v>403</v>
      </c>
      <c r="B552" s="2" t="s">
        <v>19</v>
      </c>
      <c r="C552" s="2" t="s">
        <v>16</v>
      </c>
      <c r="D552" s="2" t="n">
        <v>1918</v>
      </c>
      <c r="E552" s="2" t="n">
        <v>2586</v>
      </c>
      <c r="F552" s="2" t="n">
        <v>127</v>
      </c>
      <c r="G552" s="2" t="n">
        <v>9</v>
      </c>
      <c r="H552" s="2" t="n">
        <v>36</v>
      </c>
      <c r="I552" s="2" t="n">
        <v>6</v>
      </c>
      <c r="J552" s="2" t="n">
        <f aca="false">F552+G552+H552</f>
        <v>172</v>
      </c>
      <c r="K552" s="3" t="n">
        <f aca="false">J552/D552</f>
        <v>0.0896767466110532</v>
      </c>
    </row>
    <row r="553" customFormat="false" ht="15" hidden="false" customHeight="false" outlineLevel="0" collapsed="false">
      <c r="A553" s="2" t="s">
        <v>403</v>
      </c>
      <c r="B553" s="2" t="s">
        <v>22</v>
      </c>
      <c r="C553" s="2" t="s">
        <v>23</v>
      </c>
      <c r="D553" s="2" t="n">
        <v>3927</v>
      </c>
      <c r="E553" s="2" t="n">
        <v>4941</v>
      </c>
      <c r="F553" s="2" t="n">
        <v>200</v>
      </c>
      <c r="G553" s="2" t="n">
        <v>34</v>
      </c>
      <c r="H553" s="2" t="n">
        <v>80</v>
      </c>
      <c r="I553" s="2" t="n">
        <v>13</v>
      </c>
      <c r="J553" s="2" t="n">
        <f aca="false">F553+G553+H553</f>
        <v>314</v>
      </c>
      <c r="K553" s="3" t="n">
        <f aca="false">J553/D553</f>
        <v>0.0799592564298447</v>
      </c>
    </row>
    <row r="554" customFormat="false" ht="15" hidden="false" customHeight="false" outlineLevel="0" collapsed="false">
      <c r="A554" s="2" t="s">
        <v>404</v>
      </c>
      <c r="B554" s="2" t="s">
        <v>26</v>
      </c>
      <c r="C554" s="2" t="s">
        <v>20</v>
      </c>
      <c r="D554" s="2" t="n">
        <v>3889</v>
      </c>
      <c r="E554" s="2" t="n">
        <v>5291</v>
      </c>
      <c r="F554" s="2" t="n">
        <v>57</v>
      </c>
      <c r="G554" s="2" t="n">
        <v>8</v>
      </c>
      <c r="H554" s="2" t="n">
        <v>16</v>
      </c>
      <c r="I554" s="2" t="n">
        <v>5</v>
      </c>
      <c r="J554" s="2" t="n">
        <f aca="false">F554+G554+H554</f>
        <v>81</v>
      </c>
      <c r="K554" s="3" t="n">
        <f aca="false">J554/D554</f>
        <v>0.020827976343533</v>
      </c>
    </row>
    <row r="555" customFormat="false" ht="15" hidden="false" customHeight="false" outlineLevel="0" collapsed="false">
      <c r="A555" s="2" t="s">
        <v>404</v>
      </c>
      <c r="B555" s="2" t="s">
        <v>15</v>
      </c>
      <c r="C555" s="2" t="s">
        <v>16</v>
      </c>
      <c r="D555" s="2" t="n">
        <v>6595</v>
      </c>
      <c r="E555" s="2" t="n">
        <v>10084</v>
      </c>
      <c r="F555" s="2" t="n">
        <v>253</v>
      </c>
      <c r="G555" s="2" t="n">
        <v>50</v>
      </c>
      <c r="H555" s="2" t="n">
        <v>82</v>
      </c>
      <c r="I555" s="2" t="n">
        <v>10</v>
      </c>
      <c r="J555" s="2" t="n">
        <f aca="false">F555+G555+H555</f>
        <v>385</v>
      </c>
      <c r="K555" s="3" t="n">
        <f aca="false">J555/D555</f>
        <v>0.0583775587566338</v>
      </c>
    </row>
    <row r="556" customFormat="false" ht="15" hidden="false" customHeight="false" outlineLevel="0" collapsed="false">
      <c r="A556" s="2" t="s">
        <v>405</v>
      </c>
      <c r="B556" s="2" t="s">
        <v>22</v>
      </c>
      <c r="C556" s="2" t="s">
        <v>13</v>
      </c>
      <c r="D556" s="2" t="n">
        <v>2719</v>
      </c>
      <c r="E556" s="2" t="n">
        <v>3975</v>
      </c>
      <c r="F556" s="2" t="n">
        <v>49</v>
      </c>
      <c r="G556" s="2" t="n">
        <v>5</v>
      </c>
      <c r="H556" s="2" t="n">
        <v>13</v>
      </c>
      <c r="I556" s="2" t="n">
        <v>1</v>
      </c>
      <c r="J556" s="2" t="n">
        <f aca="false">F556+G556+H556</f>
        <v>67</v>
      </c>
      <c r="K556" s="3" t="n">
        <f aca="false">J556/D556</f>
        <v>0.0246414122839279</v>
      </c>
    </row>
    <row r="557" customFormat="false" ht="15" hidden="false" customHeight="false" outlineLevel="0" collapsed="false">
      <c r="A557" s="2" t="s">
        <v>405</v>
      </c>
      <c r="B557" s="2" t="s">
        <v>22</v>
      </c>
      <c r="C557" s="2" t="s">
        <v>23</v>
      </c>
      <c r="D557" s="2" t="n">
        <v>6120</v>
      </c>
      <c r="E557" s="2" t="n">
        <v>7835</v>
      </c>
      <c r="F557" s="2" t="n">
        <v>287</v>
      </c>
      <c r="G557" s="2" t="n">
        <v>63</v>
      </c>
      <c r="H557" s="2" t="n">
        <v>73</v>
      </c>
      <c r="I557" s="2" t="n">
        <v>13</v>
      </c>
      <c r="J557" s="2" t="n">
        <f aca="false">F557+G557+H557</f>
        <v>423</v>
      </c>
      <c r="K557" s="3" t="n">
        <f aca="false">J557/D557</f>
        <v>0.0691176470588235</v>
      </c>
    </row>
    <row r="558" customFormat="false" ht="15" hidden="false" customHeight="false" outlineLevel="0" collapsed="false">
      <c r="A558" s="2" t="s">
        <v>406</v>
      </c>
      <c r="B558" s="2" t="s">
        <v>22</v>
      </c>
      <c r="C558" s="2" t="s">
        <v>16</v>
      </c>
      <c r="D558" s="2" t="n">
        <v>4358</v>
      </c>
      <c r="E558" s="2" t="n">
        <v>5713</v>
      </c>
      <c r="F558" s="2" t="n">
        <v>132</v>
      </c>
      <c r="G558" s="2" t="n">
        <v>20</v>
      </c>
      <c r="H558" s="2" t="n">
        <v>38</v>
      </c>
      <c r="I558" s="2" t="n">
        <v>7</v>
      </c>
      <c r="J558" s="2" t="n">
        <f aca="false">F558+G558+H558</f>
        <v>190</v>
      </c>
      <c r="K558" s="3" t="n">
        <f aca="false">J558/D558</f>
        <v>0.0435979807251033</v>
      </c>
    </row>
    <row r="559" customFormat="false" ht="15" hidden="false" customHeight="false" outlineLevel="0" collapsed="false">
      <c r="A559" s="2" t="s">
        <v>407</v>
      </c>
      <c r="B559" s="2" t="s">
        <v>22</v>
      </c>
      <c r="C559" s="2" t="s">
        <v>13</v>
      </c>
      <c r="D559" s="2" t="n">
        <v>6255</v>
      </c>
      <c r="E559" s="2" t="n">
        <v>8224</v>
      </c>
      <c r="F559" s="2" t="n">
        <v>387</v>
      </c>
      <c r="G559" s="2" t="n">
        <v>35</v>
      </c>
      <c r="H559" s="2" t="n">
        <v>134</v>
      </c>
      <c r="I559" s="2" t="n">
        <v>34</v>
      </c>
      <c r="J559" s="2" t="n">
        <f aca="false">F559+G559+H559</f>
        <v>556</v>
      </c>
      <c r="K559" s="3" t="n">
        <f aca="false">J559/D559</f>
        <v>0.0888888888888889</v>
      </c>
    </row>
    <row r="560" customFormat="false" ht="15" hidden="false" customHeight="false" outlineLevel="0" collapsed="false">
      <c r="A560" s="2" t="s">
        <v>407</v>
      </c>
      <c r="B560" s="2" t="s">
        <v>15</v>
      </c>
      <c r="C560" s="2" t="s">
        <v>18</v>
      </c>
      <c r="D560" s="2" t="n">
        <v>1419</v>
      </c>
      <c r="E560" s="2" t="n">
        <v>1862</v>
      </c>
      <c r="F560" s="2" t="n">
        <v>42</v>
      </c>
      <c r="G560" s="2" t="n">
        <v>8</v>
      </c>
      <c r="H560" s="2" t="n">
        <v>18</v>
      </c>
      <c r="I560" s="2" t="n">
        <v>4</v>
      </c>
      <c r="J560" s="2" t="n">
        <f aca="false">F560+G560+H560</f>
        <v>68</v>
      </c>
      <c r="K560" s="3" t="n">
        <f aca="false">J560/D560</f>
        <v>0.0479210711768851</v>
      </c>
    </row>
    <row r="561" customFormat="false" ht="15" hidden="false" customHeight="false" outlineLevel="0" collapsed="false">
      <c r="A561" s="2" t="s">
        <v>407</v>
      </c>
      <c r="B561" s="2" t="s">
        <v>22</v>
      </c>
      <c r="C561" s="2" t="s">
        <v>23</v>
      </c>
      <c r="D561" s="2" t="n">
        <v>5299</v>
      </c>
      <c r="E561" s="2" t="n">
        <v>6710</v>
      </c>
      <c r="F561" s="2" t="n">
        <v>120</v>
      </c>
      <c r="G561" s="2" t="n">
        <v>11</v>
      </c>
      <c r="H561" s="2" t="n">
        <v>39</v>
      </c>
      <c r="I561" s="2" t="n">
        <v>13</v>
      </c>
      <c r="J561" s="2" t="n">
        <f aca="false">F561+G561+H561</f>
        <v>170</v>
      </c>
      <c r="K561" s="3" t="n">
        <f aca="false">J561/D561</f>
        <v>0.032081524816003</v>
      </c>
    </row>
    <row r="562" customFormat="false" ht="15" hidden="false" customHeight="false" outlineLevel="0" collapsed="false">
      <c r="A562" s="2" t="s">
        <v>408</v>
      </c>
      <c r="B562" s="2" t="s">
        <v>26</v>
      </c>
      <c r="C562" s="2" t="s">
        <v>20</v>
      </c>
      <c r="D562" s="2" t="n">
        <v>6674</v>
      </c>
      <c r="E562" s="2" t="n">
        <v>9168</v>
      </c>
      <c r="F562" s="2" t="n">
        <v>223</v>
      </c>
      <c r="G562" s="2" t="n">
        <v>24</v>
      </c>
      <c r="H562" s="2" t="n">
        <v>107</v>
      </c>
      <c r="I562" s="2" t="n">
        <v>21</v>
      </c>
      <c r="J562" s="2" t="n">
        <f aca="false">F562+G562+H562</f>
        <v>354</v>
      </c>
      <c r="K562" s="3" t="n">
        <f aca="false">J562/D562</f>
        <v>0.0530416541804016</v>
      </c>
    </row>
    <row r="563" customFormat="false" ht="15" hidden="false" customHeight="false" outlineLevel="0" collapsed="false">
      <c r="A563" s="2" t="s">
        <v>409</v>
      </c>
      <c r="B563" s="2" t="s">
        <v>15</v>
      </c>
      <c r="C563" s="2" t="s">
        <v>16</v>
      </c>
      <c r="D563" s="2" t="n">
        <v>3154</v>
      </c>
      <c r="E563" s="2" t="n">
        <v>4721</v>
      </c>
      <c r="F563" s="2" t="n">
        <v>152</v>
      </c>
      <c r="G563" s="2" t="n">
        <v>16</v>
      </c>
      <c r="H563" s="2" t="n">
        <v>40</v>
      </c>
      <c r="I563" s="2" t="n">
        <v>11</v>
      </c>
      <c r="J563" s="2" t="n">
        <f aca="false">F563+G563+H563</f>
        <v>208</v>
      </c>
      <c r="K563" s="3" t="n">
        <f aca="false">J563/D563</f>
        <v>0.0659480025364616</v>
      </c>
    </row>
    <row r="564" customFormat="false" ht="15" hidden="false" customHeight="false" outlineLevel="0" collapsed="false">
      <c r="A564" s="2" t="s">
        <v>409</v>
      </c>
      <c r="B564" s="2" t="s">
        <v>12</v>
      </c>
      <c r="C564" s="2" t="s">
        <v>16</v>
      </c>
      <c r="D564" s="2" t="n">
        <v>2623</v>
      </c>
      <c r="E564" s="2" t="n">
        <v>3372</v>
      </c>
      <c r="F564" s="2" t="n">
        <v>66</v>
      </c>
      <c r="G564" s="2" t="n">
        <v>11</v>
      </c>
      <c r="H564" s="2" t="n">
        <v>12</v>
      </c>
      <c r="I564" s="2" t="n">
        <v>7</v>
      </c>
      <c r="J564" s="2" t="n">
        <f aca="false">F564+G564+H564</f>
        <v>89</v>
      </c>
      <c r="K564" s="3" t="n">
        <f aca="false">J564/D564</f>
        <v>0.0339306138009912</v>
      </c>
    </row>
    <row r="565" customFormat="false" ht="15" hidden="false" customHeight="false" outlineLevel="0" collapsed="false">
      <c r="A565" s="2" t="s">
        <v>410</v>
      </c>
      <c r="B565" s="2" t="s">
        <v>26</v>
      </c>
      <c r="C565" s="2" t="s">
        <v>23</v>
      </c>
      <c r="D565" s="2" t="n">
        <v>10196</v>
      </c>
      <c r="E565" s="2" t="n">
        <v>13783</v>
      </c>
      <c r="F565" s="2" t="n">
        <v>648</v>
      </c>
      <c r="G565" s="2" t="n">
        <v>103</v>
      </c>
      <c r="H565" s="2" t="n">
        <v>145</v>
      </c>
      <c r="I565" s="2" t="n">
        <v>24</v>
      </c>
      <c r="J565" s="2" t="n">
        <f aca="false">F565+G565+H565</f>
        <v>896</v>
      </c>
      <c r="K565" s="3" t="n">
        <f aca="false">J565/D565</f>
        <v>0.0878775990584543</v>
      </c>
    </row>
    <row r="566" customFormat="false" ht="15" hidden="false" customHeight="false" outlineLevel="0" collapsed="false">
      <c r="A566" s="2" t="s">
        <v>411</v>
      </c>
      <c r="B566" s="2" t="s">
        <v>26</v>
      </c>
      <c r="C566" s="2" t="s">
        <v>18</v>
      </c>
      <c r="D566" s="2" t="n">
        <v>7996</v>
      </c>
      <c r="E566" s="2" t="n">
        <v>9833</v>
      </c>
      <c r="F566" s="2" t="n">
        <v>422</v>
      </c>
      <c r="G566" s="2" t="n">
        <v>32</v>
      </c>
      <c r="H566" s="2" t="n">
        <v>169</v>
      </c>
      <c r="I566" s="2" t="n">
        <v>46</v>
      </c>
      <c r="J566" s="2" t="n">
        <f aca="false">F566+G566+H566</f>
        <v>623</v>
      </c>
      <c r="K566" s="3" t="n">
        <f aca="false">J566/D566</f>
        <v>0.0779139569784892</v>
      </c>
    </row>
    <row r="567" customFormat="false" ht="15" hidden="false" customHeight="false" outlineLevel="0" collapsed="false">
      <c r="A567" s="2" t="s">
        <v>411</v>
      </c>
      <c r="B567" s="2" t="s">
        <v>22</v>
      </c>
      <c r="C567" s="2" t="s">
        <v>23</v>
      </c>
      <c r="D567" s="2" t="n">
        <v>6262</v>
      </c>
      <c r="E567" s="2" t="n">
        <v>8702</v>
      </c>
      <c r="F567" s="2" t="n">
        <v>317</v>
      </c>
      <c r="G567" s="2" t="n">
        <v>70</v>
      </c>
      <c r="H567" s="2" t="n">
        <v>116</v>
      </c>
      <c r="I567" s="2" t="n">
        <v>20</v>
      </c>
      <c r="J567" s="2" t="n">
        <f aca="false">F567+G567+H567</f>
        <v>503</v>
      </c>
      <c r="K567" s="3" t="n">
        <f aca="false">J567/D567</f>
        <v>0.0803257745129352</v>
      </c>
    </row>
    <row r="568" customFormat="false" ht="15" hidden="false" customHeight="false" outlineLevel="0" collapsed="false">
      <c r="A568" s="2" t="s">
        <v>411</v>
      </c>
      <c r="B568" s="2" t="s">
        <v>15</v>
      </c>
      <c r="C568" s="2" t="s">
        <v>20</v>
      </c>
      <c r="D568" s="2" t="n">
        <v>2814</v>
      </c>
      <c r="E568" s="2" t="n">
        <v>3265</v>
      </c>
      <c r="F568" s="2" t="n">
        <v>120</v>
      </c>
      <c r="G568" s="2" t="n">
        <v>24</v>
      </c>
      <c r="H568" s="2" t="n">
        <v>54</v>
      </c>
      <c r="I568" s="2" t="n">
        <v>12</v>
      </c>
      <c r="J568" s="2" t="n">
        <f aca="false">F568+G568+H568</f>
        <v>198</v>
      </c>
      <c r="K568" s="3" t="n">
        <f aca="false">J568/D568</f>
        <v>0.070362473347548</v>
      </c>
    </row>
    <row r="569" customFormat="false" ht="15" hidden="false" customHeight="false" outlineLevel="0" collapsed="false">
      <c r="A569" s="2" t="s">
        <v>412</v>
      </c>
      <c r="B569" s="2" t="s">
        <v>15</v>
      </c>
      <c r="C569" s="2" t="s">
        <v>18</v>
      </c>
      <c r="D569" s="2" t="n">
        <v>9376</v>
      </c>
      <c r="E569" s="2" t="n">
        <v>14959</v>
      </c>
      <c r="F569" s="2" t="n">
        <v>342</v>
      </c>
      <c r="G569" s="2" t="n">
        <v>37</v>
      </c>
      <c r="H569" s="2" t="n">
        <v>97</v>
      </c>
      <c r="I569" s="2" t="n">
        <v>36</v>
      </c>
      <c r="J569" s="2" t="n">
        <f aca="false">F569+G569+H569</f>
        <v>476</v>
      </c>
      <c r="K569" s="3" t="n">
        <f aca="false">J569/D569</f>
        <v>0.0507679180887372</v>
      </c>
    </row>
    <row r="570" customFormat="false" ht="15" hidden="false" customHeight="false" outlineLevel="0" collapsed="false">
      <c r="A570" s="2" t="s">
        <v>412</v>
      </c>
      <c r="B570" s="2" t="s">
        <v>26</v>
      </c>
      <c r="C570" s="2" t="s">
        <v>20</v>
      </c>
      <c r="D570" s="2" t="n">
        <v>8825</v>
      </c>
      <c r="E570" s="2" t="n">
        <v>13822</v>
      </c>
      <c r="F570" s="2" t="n">
        <v>358</v>
      </c>
      <c r="G570" s="2" t="n">
        <v>71</v>
      </c>
      <c r="H570" s="2" t="n">
        <v>89</v>
      </c>
      <c r="I570" s="2" t="n">
        <v>15</v>
      </c>
      <c r="J570" s="2" t="n">
        <f aca="false">F570+G570+H570</f>
        <v>518</v>
      </c>
      <c r="K570" s="3" t="n">
        <f aca="false">J570/D570</f>
        <v>0.0586968838526912</v>
      </c>
    </row>
    <row r="571" customFormat="false" ht="15" hidden="false" customHeight="false" outlineLevel="0" collapsed="false">
      <c r="A571" s="2" t="s">
        <v>413</v>
      </c>
      <c r="B571" s="2" t="s">
        <v>22</v>
      </c>
      <c r="C571" s="2" t="s">
        <v>18</v>
      </c>
      <c r="D571" s="2" t="n">
        <v>4312</v>
      </c>
      <c r="E571" s="2" t="n">
        <v>6782</v>
      </c>
      <c r="F571" s="2" t="n">
        <v>98</v>
      </c>
      <c r="G571" s="2" t="n">
        <v>22</v>
      </c>
      <c r="H571" s="2" t="n">
        <v>33</v>
      </c>
      <c r="I571" s="2" t="n">
        <v>8</v>
      </c>
      <c r="J571" s="2" t="n">
        <f aca="false">F571+G571+H571</f>
        <v>153</v>
      </c>
      <c r="K571" s="3" t="n">
        <f aca="false">J571/D571</f>
        <v>0.0354823747680891</v>
      </c>
    </row>
    <row r="572" customFormat="false" ht="15" hidden="false" customHeight="false" outlineLevel="0" collapsed="false">
      <c r="A572" s="2" t="s">
        <v>413</v>
      </c>
      <c r="B572" s="2" t="s">
        <v>15</v>
      </c>
      <c r="C572" s="2" t="s">
        <v>20</v>
      </c>
      <c r="D572" s="2" t="n">
        <v>4850</v>
      </c>
      <c r="E572" s="2" t="n">
        <v>6052</v>
      </c>
      <c r="F572" s="2" t="n">
        <v>276</v>
      </c>
      <c r="G572" s="2" t="n">
        <v>43</v>
      </c>
      <c r="H572" s="2" t="n">
        <v>102</v>
      </c>
      <c r="I572" s="2" t="n">
        <v>21</v>
      </c>
      <c r="J572" s="2" t="n">
        <f aca="false">F572+G572+H572</f>
        <v>421</v>
      </c>
      <c r="K572" s="3" t="n">
        <f aca="false">J572/D572</f>
        <v>0.0868041237113402</v>
      </c>
    </row>
    <row r="573" customFormat="false" ht="15" hidden="false" customHeight="false" outlineLevel="0" collapsed="false">
      <c r="A573" s="2" t="s">
        <v>414</v>
      </c>
      <c r="B573" s="2" t="s">
        <v>12</v>
      </c>
      <c r="C573" s="2" t="s">
        <v>20</v>
      </c>
      <c r="D573" s="2" t="n">
        <v>2487</v>
      </c>
      <c r="E573" s="2" t="n">
        <v>3309</v>
      </c>
      <c r="F573" s="2" t="n">
        <v>53</v>
      </c>
      <c r="G573" s="2" t="n">
        <v>11</v>
      </c>
      <c r="H573" s="2" t="n">
        <v>14</v>
      </c>
      <c r="I573" s="2" t="n">
        <v>6</v>
      </c>
      <c r="J573" s="2" t="n">
        <f aca="false">F573+G573+H573</f>
        <v>78</v>
      </c>
      <c r="K573" s="3" t="n">
        <f aca="false">J573/D573</f>
        <v>0.0313630880579011</v>
      </c>
    </row>
    <row r="574" customFormat="false" ht="15" hidden="false" customHeight="false" outlineLevel="0" collapsed="false">
      <c r="A574" s="2" t="s">
        <v>414</v>
      </c>
      <c r="B574" s="2" t="s">
        <v>15</v>
      </c>
      <c r="C574" s="2" t="s">
        <v>18</v>
      </c>
      <c r="D574" s="2" t="n">
        <v>4843</v>
      </c>
      <c r="E574" s="2" t="n">
        <v>7685</v>
      </c>
      <c r="F574" s="2" t="n">
        <v>125</v>
      </c>
      <c r="G574" s="2" t="n">
        <v>19</v>
      </c>
      <c r="H574" s="2" t="n">
        <v>24</v>
      </c>
      <c r="I574" s="2" t="n">
        <v>6</v>
      </c>
      <c r="J574" s="2" t="n">
        <f aca="false">F574+G574+H574</f>
        <v>168</v>
      </c>
      <c r="K574" s="3" t="n">
        <f aca="false">J574/D574</f>
        <v>0.0346892422052447</v>
      </c>
    </row>
    <row r="575" customFormat="false" ht="15" hidden="false" customHeight="false" outlineLevel="0" collapsed="false">
      <c r="A575" s="2" t="s">
        <v>415</v>
      </c>
      <c r="B575" s="2" t="s">
        <v>15</v>
      </c>
      <c r="C575" s="2" t="s">
        <v>20</v>
      </c>
      <c r="D575" s="2" t="n">
        <v>6661</v>
      </c>
      <c r="E575" s="2" t="n">
        <v>8790</v>
      </c>
      <c r="F575" s="2" t="n">
        <v>255</v>
      </c>
      <c r="G575" s="2" t="n">
        <v>38</v>
      </c>
      <c r="H575" s="2" t="n">
        <v>110</v>
      </c>
      <c r="I575" s="2" t="n">
        <v>8</v>
      </c>
      <c r="J575" s="2" t="n">
        <f aca="false">F575+G575+H575</f>
        <v>403</v>
      </c>
      <c r="K575" s="3" t="n">
        <f aca="false">J575/D575</f>
        <v>0.0605014262122804</v>
      </c>
    </row>
    <row r="576" customFormat="false" ht="15" hidden="false" customHeight="false" outlineLevel="0" collapsed="false">
      <c r="A576" s="2" t="s">
        <v>416</v>
      </c>
      <c r="B576" s="2" t="s">
        <v>19</v>
      </c>
      <c r="C576" s="2" t="s">
        <v>16</v>
      </c>
      <c r="D576" s="2" t="n">
        <v>808</v>
      </c>
      <c r="E576" s="2" t="n">
        <v>1184</v>
      </c>
      <c r="F576" s="2" t="n">
        <v>18</v>
      </c>
      <c r="G576" s="2" t="n">
        <v>2</v>
      </c>
      <c r="H576" s="2" t="n">
        <v>6</v>
      </c>
      <c r="I576" s="2" t="n">
        <v>2</v>
      </c>
      <c r="J576" s="2" t="n">
        <f aca="false">F576+G576+H576</f>
        <v>26</v>
      </c>
      <c r="K576" s="3" t="n">
        <f aca="false">J576/D576</f>
        <v>0.0321782178217822</v>
      </c>
    </row>
    <row r="577" customFormat="false" ht="15" hidden="false" customHeight="false" outlineLevel="0" collapsed="false">
      <c r="A577" s="2" t="s">
        <v>416</v>
      </c>
      <c r="B577" s="2" t="s">
        <v>22</v>
      </c>
      <c r="C577" s="2" t="s">
        <v>23</v>
      </c>
      <c r="D577" s="2" t="n">
        <v>2661</v>
      </c>
      <c r="E577" s="2" t="n">
        <v>3583</v>
      </c>
      <c r="F577" s="2" t="n">
        <v>133</v>
      </c>
      <c r="G577" s="2" t="n">
        <v>12</v>
      </c>
      <c r="H577" s="2" t="n">
        <v>34</v>
      </c>
      <c r="I577" s="2" t="n">
        <v>5</v>
      </c>
      <c r="J577" s="2" t="n">
        <f aca="false">F577+G577+H577</f>
        <v>179</v>
      </c>
      <c r="K577" s="3" t="n">
        <f aca="false">J577/D577</f>
        <v>0.0672679443818113</v>
      </c>
    </row>
    <row r="578" customFormat="false" ht="15" hidden="false" customHeight="false" outlineLevel="0" collapsed="false">
      <c r="A578" s="2" t="s">
        <v>417</v>
      </c>
      <c r="B578" s="2" t="s">
        <v>15</v>
      </c>
      <c r="C578" s="2" t="s">
        <v>18</v>
      </c>
      <c r="D578" s="2" t="n">
        <v>4657</v>
      </c>
      <c r="E578" s="2" t="n">
        <v>5937</v>
      </c>
      <c r="F578" s="2" t="n">
        <v>89</v>
      </c>
      <c r="G578" s="2" t="n">
        <v>17</v>
      </c>
      <c r="H578" s="2" t="n">
        <v>20</v>
      </c>
      <c r="I578" s="2" t="n">
        <v>4</v>
      </c>
      <c r="J578" s="2" t="n">
        <f aca="false">F578+G578+H578</f>
        <v>126</v>
      </c>
      <c r="K578" s="3" t="n">
        <f aca="false">J578/D578</f>
        <v>0.0270560446639467</v>
      </c>
    </row>
    <row r="579" customFormat="false" ht="15" hidden="false" customHeight="false" outlineLevel="0" collapsed="false">
      <c r="A579" s="2" t="s">
        <v>418</v>
      </c>
      <c r="B579" s="2" t="s">
        <v>22</v>
      </c>
      <c r="C579" s="2" t="s">
        <v>13</v>
      </c>
      <c r="D579" s="2" t="n">
        <v>2643</v>
      </c>
      <c r="E579" s="2" t="n">
        <v>3059</v>
      </c>
      <c r="F579" s="2" t="n">
        <v>142</v>
      </c>
      <c r="G579" s="2" t="n">
        <v>12</v>
      </c>
      <c r="H579" s="2" t="n">
        <v>71</v>
      </c>
      <c r="I579" s="2" t="n">
        <v>15</v>
      </c>
      <c r="J579" s="2" t="n">
        <f aca="false">F579+G579+H579</f>
        <v>225</v>
      </c>
      <c r="K579" s="3" t="n">
        <f aca="false">J579/D579</f>
        <v>0.0851305334846765</v>
      </c>
    </row>
    <row r="580" customFormat="false" ht="15" hidden="false" customHeight="false" outlineLevel="0" collapsed="false">
      <c r="A580" s="2" t="s">
        <v>418</v>
      </c>
      <c r="B580" s="2" t="s">
        <v>19</v>
      </c>
      <c r="C580" s="2" t="s">
        <v>16</v>
      </c>
      <c r="D580" s="2" t="n">
        <v>969</v>
      </c>
      <c r="E580" s="2" t="n">
        <v>1544</v>
      </c>
      <c r="F580" s="2" t="n">
        <v>43</v>
      </c>
      <c r="G580" s="2" t="n">
        <v>9</v>
      </c>
      <c r="H580" s="2" t="n">
        <v>10</v>
      </c>
      <c r="I580" s="2" t="n">
        <v>2</v>
      </c>
      <c r="J580" s="2" t="n">
        <f aca="false">F580+G580+H580</f>
        <v>62</v>
      </c>
      <c r="K580" s="3" t="n">
        <f aca="false">J580/D580</f>
        <v>0.0639834881320949</v>
      </c>
    </row>
    <row r="581" customFormat="false" ht="15" hidden="false" customHeight="false" outlineLevel="0" collapsed="false">
      <c r="A581" s="2" t="s">
        <v>419</v>
      </c>
      <c r="B581" s="2" t="s">
        <v>26</v>
      </c>
      <c r="C581" s="2" t="s">
        <v>18</v>
      </c>
      <c r="D581" s="2" t="n">
        <v>10968</v>
      </c>
      <c r="E581" s="2" t="n">
        <v>16025</v>
      </c>
      <c r="F581" s="2" t="n">
        <v>230</v>
      </c>
      <c r="G581" s="2" t="n">
        <v>42</v>
      </c>
      <c r="H581" s="2" t="n">
        <v>65</v>
      </c>
      <c r="I581" s="2" t="n">
        <v>9</v>
      </c>
      <c r="J581" s="2" t="n">
        <f aca="false">F581+G581+H581</f>
        <v>337</v>
      </c>
      <c r="K581" s="3" t="n">
        <f aca="false">J581/D581</f>
        <v>0.0307257476294675</v>
      </c>
    </row>
    <row r="582" customFormat="false" ht="15" hidden="false" customHeight="false" outlineLevel="0" collapsed="false">
      <c r="A582" s="2" t="s">
        <v>420</v>
      </c>
      <c r="B582" s="2" t="s">
        <v>15</v>
      </c>
      <c r="C582" s="2" t="s">
        <v>20</v>
      </c>
      <c r="D582" s="2" t="n">
        <v>6876</v>
      </c>
      <c r="E582" s="2" t="n">
        <v>8472</v>
      </c>
      <c r="F582" s="2" t="n">
        <v>102</v>
      </c>
      <c r="G582" s="2" t="n">
        <v>10</v>
      </c>
      <c r="H582" s="2" t="n">
        <v>26</v>
      </c>
      <c r="I582" s="2" t="n">
        <v>5</v>
      </c>
      <c r="J582" s="2" t="n">
        <f aca="false">F582+G582+H582</f>
        <v>138</v>
      </c>
      <c r="K582" s="3" t="n">
        <f aca="false">J582/D582</f>
        <v>0.0200698080279232</v>
      </c>
    </row>
    <row r="583" customFormat="false" ht="15" hidden="false" customHeight="false" outlineLevel="0" collapsed="false">
      <c r="A583" s="2" t="s">
        <v>421</v>
      </c>
      <c r="B583" s="2" t="s">
        <v>26</v>
      </c>
      <c r="C583" s="2" t="s">
        <v>13</v>
      </c>
      <c r="D583" s="2" t="n">
        <v>6596</v>
      </c>
      <c r="E583" s="2" t="n">
        <v>8563</v>
      </c>
      <c r="F583" s="2" t="n">
        <v>128</v>
      </c>
      <c r="G583" s="2" t="n">
        <v>23</v>
      </c>
      <c r="H583" s="2" t="n">
        <v>31</v>
      </c>
      <c r="I583" s="2" t="n">
        <v>15</v>
      </c>
      <c r="J583" s="2" t="n">
        <f aca="false">F583+G583+H583</f>
        <v>182</v>
      </c>
      <c r="K583" s="3" t="n">
        <f aca="false">J583/D583</f>
        <v>0.0275924802910855</v>
      </c>
    </row>
    <row r="584" customFormat="false" ht="15" hidden="false" customHeight="false" outlineLevel="0" collapsed="false">
      <c r="A584" s="2" t="s">
        <v>421</v>
      </c>
      <c r="B584" s="2" t="s">
        <v>15</v>
      </c>
      <c r="C584" s="2" t="s">
        <v>13</v>
      </c>
      <c r="D584" s="2" t="n">
        <v>5234</v>
      </c>
      <c r="E584" s="2" t="n">
        <v>7553</v>
      </c>
      <c r="F584" s="2" t="n">
        <v>190</v>
      </c>
      <c r="G584" s="2" t="n">
        <v>28</v>
      </c>
      <c r="H584" s="2" t="n">
        <v>82</v>
      </c>
      <c r="I584" s="2" t="n">
        <v>17</v>
      </c>
      <c r="J584" s="2" t="n">
        <f aca="false">F584+G584+H584</f>
        <v>300</v>
      </c>
      <c r="K584" s="3" t="n">
        <f aca="false">J584/D584</f>
        <v>0.0573175391669851</v>
      </c>
    </row>
    <row r="585" customFormat="false" ht="15" hidden="false" customHeight="false" outlineLevel="0" collapsed="false">
      <c r="A585" s="2" t="s">
        <v>422</v>
      </c>
      <c r="B585" s="2" t="s">
        <v>15</v>
      </c>
      <c r="C585" s="2" t="s">
        <v>23</v>
      </c>
      <c r="D585" s="2" t="n">
        <v>7982</v>
      </c>
      <c r="E585" s="2" t="n">
        <v>12432</v>
      </c>
      <c r="F585" s="2" t="n">
        <v>390</v>
      </c>
      <c r="G585" s="2" t="n">
        <v>34</v>
      </c>
      <c r="H585" s="2" t="n">
        <v>194</v>
      </c>
      <c r="I585" s="2" t="n">
        <v>20</v>
      </c>
      <c r="J585" s="2" t="n">
        <f aca="false">F585+G585+H585</f>
        <v>618</v>
      </c>
      <c r="K585" s="3" t="n">
        <f aca="false">J585/D585</f>
        <v>0.0774242044600351</v>
      </c>
    </row>
    <row r="586" customFormat="false" ht="15" hidden="false" customHeight="false" outlineLevel="0" collapsed="false">
      <c r="A586" s="2" t="s">
        <v>422</v>
      </c>
      <c r="B586" s="2" t="s">
        <v>26</v>
      </c>
      <c r="C586" s="2" t="s">
        <v>18</v>
      </c>
      <c r="D586" s="2" t="n">
        <v>12243</v>
      </c>
      <c r="E586" s="2" t="n">
        <v>14732</v>
      </c>
      <c r="F586" s="2" t="n">
        <v>611</v>
      </c>
      <c r="G586" s="2" t="n">
        <v>77</v>
      </c>
      <c r="H586" s="2" t="n">
        <v>144</v>
      </c>
      <c r="I586" s="2" t="n">
        <v>17</v>
      </c>
      <c r="J586" s="2" t="n">
        <f aca="false">F586+G586+H586</f>
        <v>832</v>
      </c>
      <c r="K586" s="3" t="n">
        <f aca="false">J586/D586</f>
        <v>0.0679572000326717</v>
      </c>
    </row>
    <row r="587" customFormat="false" ht="15" hidden="false" customHeight="false" outlineLevel="0" collapsed="false">
      <c r="A587" s="2" t="s">
        <v>423</v>
      </c>
      <c r="B587" s="2" t="s">
        <v>15</v>
      </c>
      <c r="C587" s="2" t="s">
        <v>18</v>
      </c>
      <c r="D587" s="2" t="n">
        <v>6056</v>
      </c>
      <c r="E587" s="2" t="n">
        <v>8245</v>
      </c>
      <c r="F587" s="2" t="n">
        <v>114</v>
      </c>
      <c r="G587" s="2" t="n">
        <v>21</v>
      </c>
      <c r="H587" s="2" t="n">
        <v>42</v>
      </c>
      <c r="I587" s="2" t="n">
        <v>11</v>
      </c>
      <c r="J587" s="2" t="n">
        <f aca="false">F587+G587+H587</f>
        <v>177</v>
      </c>
      <c r="K587" s="3" t="n">
        <f aca="false">J587/D587</f>
        <v>0.029227212681638</v>
      </c>
    </row>
    <row r="588" customFormat="false" ht="15" hidden="false" customHeight="false" outlineLevel="0" collapsed="false">
      <c r="A588" s="2" t="s">
        <v>424</v>
      </c>
      <c r="B588" s="2" t="s">
        <v>12</v>
      </c>
      <c r="C588" s="2" t="s">
        <v>20</v>
      </c>
      <c r="D588" s="2" t="n">
        <v>3010</v>
      </c>
      <c r="E588" s="2" t="n">
        <v>3902</v>
      </c>
      <c r="F588" s="2" t="n">
        <v>121</v>
      </c>
      <c r="G588" s="2" t="n">
        <v>12</v>
      </c>
      <c r="H588" s="2" t="n">
        <v>53</v>
      </c>
      <c r="I588" s="2" t="n">
        <v>11</v>
      </c>
      <c r="J588" s="2" t="n">
        <f aca="false">F588+G588+H588</f>
        <v>186</v>
      </c>
      <c r="K588" s="3" t="n">
        <f aca="false">J588/D588</f>
        <v>0.0617940199335548</v>
      </c>
    </row>
    <row r="589" customFormat="false" ht="15" hidden="false" customHeight="false" outlineLevel="0" collapsed="false">
      <c r="A589" s="2" t="s">
        <v>424</v>
      </c>
      <c r="B589" s="2" t="s">
        <v>15</v>
      </c>
      <c r="C589" s="2" t="s">
        <v>20</v>
      </c>
      <c r="D589" s="2" t="n">
        <v>6450</v>
      </c>
      <c r="E589" s="2" t="n">
        <v>8305</v>
      </c>
      <c r="F589" s="2" t="n">
        <v>270</v>
      </c>
      <c r="G589" s="2" t="n">
        <v>23</v>
      </c>
      <c r="H589" s="2" t="n">
        <v>82</v>
      </c>
      <c r="I589" s="2" t="n">
        <v>24</v>
      </c>
      <c r="J589" s="2" t="n">
        <f aca="false">F589+G589+H589</f>
        <v>375</v>
      </c>
      <c r="K589" s="3" t="n">
        <f aca="false">J589/D589</f>
        <v>0.0581395348837209</v>
      </c>
    </row>
    <row r="590" customFormat="false" ht="15" hidden="false" customHeight="false" outlineLevel="0" collapsed="false">
      <c r="A590" s="2" t="s">
        <v>425</v>
      </c>
      <c r="B590" s="2" t="s">
        <v>15</v>
      </c>
      <c r="C590" s="2" t="s">
        <v>20</v>
      </c>
      <c r="D590" s="2" t="n">
        <v>5300</v>
      </c>
      <c r="E590" s="2" t="n">
        <v>7613</v>
      </c>
      <c r="F590" s="2" t="n">
        <v>280</v>
      </c>
      <c r="G590" s="2" t="n">
        <v>24</v>
      </c>
      <c r="H590" s="2" t="n">
        <v>77</v>
      </c>
      <c r="I590" s="2" t="n">
        <v>18</v>
      </c>
      <c r="J590" s="2" t="n">
        <f aca="false">F590+G590+H590</f>
        <v>381</v>
      </c>
      <c r="K590" s="3" t="n">
        <f aca="false">J590/D590</f>
        <v>0.0718867924528302</v>
      </c>
    </row>
    <row r="591" customFormat="false" ht="15" hidden="false" customHeight="false" outlineLevel="0" collapsed="false">
      <c r="A591" s="2" t="s">
        <v>425</v>
      </c>
      <c r="B591" s="2" t="s">
        <v>22</v>
      </c>
      <c r="C591" s="2" t="s">
        <v>23</v>
      </c>
      <c r="D591" s="2" t="n">
        <v>2031</v>
      </c>
      <c r="E591" s="2" t="n">
        <v>2686</v>
      </c>
      <c r="F591" s="2" t="n">
        <v>65</v>
      </c>
      <c r="G591" s="2" t="n">
        <v>15</v>
      </c>
      <c r="H591" s="2" t="n">
        <v>23</v>
      </c>
      <c r="I591" s="2" t="n">
        <v>4</v>
      </c>
      <c r="J591" s="2" t="n">
        <f aca="false">F591+G591+H591</f>
        <v>103</v>
      </c>
      <c r="K591" s="3" t="n">
        <f aca="false">J591/D591</f>
        <v>0.0507139340226489</v>
      </c>
    </row>
    <row r="592" customFormat="false" ht="15" hidden="false" customHeight="false" outlineLevel="0" collapsed="false">
      <c r="A592" s="2" t="s">
        <v>425</v>
      </c>
      <c r="B592" s="2" t="s">
        <v>12</v>
      </c>
      <c r="C592" s="2" t="s">
        <v>23</v>
      </c>
      <c r="D592" s="2" t="n">
        <v>1183</v>
      </c>
      <c r="E592" s="2" t="n">
        <v>1509</v>
      </c>
      <c r="F592" s="2" t="n">
        <v>20</v>
      </c>
      <c r="G592" s="2" t="n">
        <v>3</v>
      </c>
      <c r="H592" s="2" t="n">
        <v>10</v>
      </c>
      <c r="I592" s="2" t="n">
        <v>2</v>
      </c>
      <c r="J592" s="2" t="n">
        <f aca="false">F592+G592+H592</f>
        <v>33</v>
      </c>
      <c r="K592" s="3" t="n">
        <f aca="false">J592/D592</f>
        <v>0.0278951817413356</v>
      </c>
    </row>
    <row r="593" customFormat="false" ht="15" hidden="false" customHeight="false" outlineLevel="0" collapsed="false">
      <c r="A593" s="2" t="s">
        <v>426</v>
      </c>
      <c r="B593" s="2" t="s">
        <v>12</v>
      </c>
      <c r="C593" s="2" t="s">
        <v>20</v>
      </c>
      <c r="D593" s="2" t="n">
        <v>2990</v>
      </c>
      <c r="E593" s="2" t="n">
        <v>3925</v>
      </c>
      <c r="F593" s="2" t="n">
        <v>116</v>
      </c>
      <c r="G593" s="2" t="n">
        <v>12</v>
      </c>
      <c r="H593" s="2" t="n">
        <v>58</v>
      </c>
      <c r="I593" s="2" t="n">
        <v>7</v>
      </c>
      <c r="J593" s="2" t="n">
        <f aca="false">F593+G593+H593</f>
        <v>186</v>
      </c>
      <c r="K593" s="3" t="n">
        <f aca="false">J593/D593</f>
        <v>0.0622073578595318</v>
      </c>
    </row>
    <row r="594" customFormat="false" ht="15" hidden="false" customHeight="false" outlineLevel="0" collapsed="false">
      <c r="A594" s="2" t="s">
        <v>427</v>
      </c>
      <c r="B594" s="2" t="s">
        <v>15</v>
      </c>
      <c r="C594" s="2" t="s">
        <v>16</v>
      </c>
      <c r="D594" s="2" t="n">
        <v>1648</v>
      </c>
      <c r="E594" s="2" t="n">
        <v>2120</v>
      </c>
      <c r="F594" s="2" t="n">
        <v>71</v>
      </c>
      <c r="G594" s="2" t="n">
        <v>6</v>
      </c>
      <c r="H594" s="2" t="n">
        <v>24</v>
      </c>
      <c r="I594" s="2" t="n">
        <v>8</v>
      </c>
      <c r="J594" s="2" t="n">
        <f aca="false">F594+G594+H594</f>
        <v>101</v>
      </c>
      <c r="K594" s="3" t="n">
        <f aca="false">J594/D594</f>
        <v>0.0612864077669903</v>
      </c>
    </row>
    <row r="595" customFormat="false" ht="15" hidden="false" customHeight="false" outlineLevel="0" collapsed="false">
      <c r="A595" s="2" t="s">
        <v>428</v>
      </c>
      <c r="B595" s="2" t="s">
        <v>12</v>
      </c>
      <c r="C595" s="2" t="s">
        <v>13</v>
      </c>
      <c r="D595" s="2" t="n">
        <v>2774</v>
      </c>
      <c r="E595" s="2" t="n">
        <v>4202</v>
      </c>
      <c r="F595" s="2" t="n">
        <v>91</v>
      </c>
      <c r="G595" s="2" t="n">
        <v>7</v>
      </c>
      <c r="H595" s="2" t="n">
        <v>28</v>
      </c>
      <c r="I595" s="2" t="n">
        <v>3</v>
      </c>
      <c r="J595" s="2" t="n">
        <f aca="false">F595+G595+H595</f>
        <v>126</v>
      </c>
      <c r="K595" s="3" t="n">
        <f aca="false">J595/D595</f>
        <v>0.0454217736121125</v>
      </c>
    </row>
    <row r="596" customFormat="false" ht="15" hidden="false" customHeight="false" outlineLevel="0" collapsed="false">
      <c r="A596" s="2" t="s">
        <v>429</v>
      </c>
      <c r="B596" s="2" t="s">
        <v>26</v>
      </c>
      <c r="C596" s="2" t="s">
        <v>16</v>
      </c>
      <c r="D596" s="2" t="n">
        <v>10026</v>
      </c>
      <c r="E596" s="2" t="n">
        <v>12148</v>
      </c>
      <c r="F596" s="2" t="n">
        <v>515</v>
      </c>
      <c r="G596" s="2" t="n">
        <v>58</v>
      </c>
      <c r="H596" s="2" t="n">
        <v>204</v>
      </c>
      <c r="I596" s="2" t="n">
        <v>27</v>
      </c>
      <c r="J596" s="2" t="n">
        <f aca="false">F596+G596+H596</f>
        <v>777</v>
      </c>
      <c r="K596" s="3" t="n">
        <f aca="false">J596/D596</f>
        <v>0.0774985038898863</v>
      </c>
    </row>
    <row r="597" customFormat="false" ht="15" hidden="false" customHeight="false" outlineLevel="0" collapsed="false">
      <c r="A597" s="2" t="s">
        <v>429</v>
      </c>
      <c r="B597" s="2" t="s">
        <v>26</v>
      </c>
      <c r="C597" s="2" t="s">
        <v>13</v>
      </c>
      <c r="D597" s="2" t="n">
        <v>12239</v>
      </c>
      <c r="E597" s="2" t="n">
        <v>17177</v>
      </c>
      <c r="F597" s="2" t="n">
        <v>737</v>
      </c>
      <c r="G597" s="2" t="n">
        <v>125</v>
      </c>
      <c r="H597" s="2" t="n">
        <v>219</v>
      </c>
      <c r="I597" s="2" t="n">
        <v>41</v>
      </c>
      <c r="J597" s="2" t="n">
        <f aca="false">F597+G597+H597</f>
        <v>1081</v>
      </c>
      <c r="K597" s="3" t="n">
        <f aca="false">J597/D597</f>
        <v>0.0883242094942397</v>
      </c>
    </row>
    <row r="598" customFormat="false" ht="15" hidden="false" customHeight="false" outlineLevel="0" collapsed="false">
      <c r="A598" s="2" t="s">
        <v>430</v>
      </c>
      <c r="B598" s="2" t="s">
        <v>22</v>
      </c>
      <c r="C598" s="2" t="s">
        <v>16</v>
      </c>
      <c r="D598" s="2" t="n">
        <v>3182</v>
      </c>
      <c r="E598" s="2" t="n">
        <v>4692</v>
      </c>
      <c r="F598" s="2" t="n">
        <v>85</v>
      </c>
      <c r="G598" s="2" t="n">
        <v>9</v>
      </c>
      <c r="H598" s="2" t="n">
        <v>32</v>
      </c>
      <c r="I598" s="2" t="n">
        <v>6</v>
      </c>
      <c r="J598" s="2" t="n">
        <f aca="false">F598+G598+H598</f>
        <v>126</v>
      </c>
      <c r="K598" s="3" t="n">
        <f aca="false">J598/D598</f>
        <v>0.0395977372721559</v>
      </c>
    </row>
    <row r="599" customFormat="false" ht="15" hidden="false" customHeight="false" outlineLevel="0" collapsed="false">
      <c r="A599" s="2" t="s">
        <v>431</v>
      </c>
      <c r="B599" s="2" t="s">
        <v>15</v>
      </c>
      <c r="C599" s="2" t="s">
        <v>20</v>
      </c>
      <c r="D599" s="2" t="n">
        <v>3453</v>
      </c>
      <c r="E599" s="2" t="n">
        <v>4963</v>
      </c>
      <c r="F599" s="2" t="n">
        <v>118</v>
      </c>
      <c r="G599" s="2" t="n">
        <v>20</v>
      </c>
      <c r="H599" s="2" t="n">
        <v>54</v>
      </c>
      <c r="I599" s="2" t="n">
        <v>8</v>
      </c>
      <c r="J599" s="2" t="n">
        <f aca="false">F599+G599+H599</f>
        <v>192</v>
      </c>
      <c r="K599" s="3" t="n">
        <f aca="false">J599/D599</f>
        <v>0.0556038227628149</v>
      </c>
    </row>
    <row r="600" customFormat="false" ht="15" hidden="false" customHeight="false" outlineLevel="0" collapsed="false">
      <c r="A600" s="2" t="s">
        <v>432</v>
      </c>
      <c r="B600" s="2" t="s">
        <v>26</v>
      </c>
      <c r="C600" s="2" t="s">
        <v>20</v>
      </c>
      <c r="D600" s="2" t="n">
        <v>8195</v>
      </c>
      <c r="E600" s="2" t="n">
        <v>10944</v>
      </c>
      <c r="F600" s="2" t="n">
        <v>433</v>
      </c>
      <c r="G600" s="2" t="n">
        <v>100</v>
      </c>
      <c r="H600" s="2" t="n">
        <v>143</v>
      </c>
      <c r="I600" s="2" t="n">
        <v>50</v>
      </c>
      <c r="J600" s="2" t="n">
        <f aca="false">F600+G600+H600</f>
        <v>676</v>
      </c>
      <c r="K600" s="3" t="n">
        <f aca="false">J600/D600</f>
        <v>0.0824893227577791</v>
      </c>
    </row>
    <row r="601" customFormat="false" ht="15" hidden="false" customHeight="false" outlineLevel="0" collapsed="false">
      <c r="A601" s="2" t="s">
        <v>433</v>
      </c>
      <c r="B601" s="2" t="s">
        <v>19</v>
      </c>
      <c r="C601" s="2" t="s">
        <v>18</v>
      </c>
      <c r="D601" s="2" t="n">
        <v>1754</v>
      </c>
      <c r="E601" s="2" t="n">
        <v>2124</v>
      </c>
      <c r="F601" s="2" t="n">
        <v>63</v>
      </c>
      <c r="G601" s="2" t="n">
        <v>13</v>
      </c>
      <c r="H601" s="2" t="n">
        <v>26</v>
      </c>
      <c r="I601" s="2" t="n">
        <v>2</v>
      </c>
      <c r="J601" s="2" t="n">
        <f aca="false">F601+G601+H601</f>
        <v>102</v>
      </c>
      <c r="K601" s="3" t="n">
        <f aca="false">J601/D601</f>
        <v>0.0581527936145952</v>
      </c>
    </row>
    <row r="602" customFormat="false" ht="15" hidden="false" customHeight="false" outlineLevel="0" collapsed="false">
      <c r="A602" s="2" t="s">
        <v>433</v>
      </c>
      <c r="B602" s="2" t="s">
        <v>15</v>
      </c>
      <c r="C602" s="2" t="s">
        <v>18</v>
      </c>
      <c r="D602" s="2" t="n">
        <v>4033</v>
      </c>
      <c r="E602" s="2" t="n">
        <v>6325</v>
      </c>
      <c r="F602" s="2" t="n">
        <v>121</v>
      </c>
      <c r="G602" s="2" t="n">
        <v>22</v>
      </c>
      <c r="H602" s="2" t="n">
        <v>50</v>
      </c>
      <c r="I602" s="2" t="n">
        <v>7</v>
      </c>
      <c r="J602" s="2" t="n">
        <f aca="false">F602+G602+H602</f>
        <v>193</v>
      </c>
      <c r="K602" s="3" t="n">
        <f aca="false">J602/D602</f>
        <v>0.0478551946441855</v>
      </c>
    </row>
    <row r="603" customFormat="false" ht="15" hidden="false" customHeight="false" outlineLevel="0" collapsed="false">
      <c r="A603" s="2" t="s">
        <v>434</v>
      </c>
      <c r="B603" s="2" t="s">
        <v>19</v>
      </c>
      <c r="C603" s="2" t="s">
        <v>23</v>
      </c>
      <c r="D603" s="2" t="n">
        <v>3710</v>
      </c>
      <c r="E603" s="2" t="n">
        <v>4338</v>
      </c>
      <c r="F603" s="2" t="n">
        <v>92</v>
      </c>
      <c r="G603" s="2" t="n">
        <v>11</v>
      </c>
      <c r="H603" s="2" t="n">
        <v>21</v>
      </c>
      <c r="I603" s="2" t="n">
        <v>6</v>
      </c>
      <c r="J603" s="2" t="n">
        <f aca="false">F603+G603+H603</f>
        <v>124</v>
      </c>
      <c r="K603" s="3" t="n">
        <f aca="false">J603/D603</f>
        <v>0.0334231805929919</v>
      </c>
    </row>
    <row r="604" customFormat="false" ht="15" hidden="false" customHeight="false" outlineLevel="0" collapsed="false">
      <c r="A604" s="2" t="s">
        <v>434</v>
      </c>
      <c r="B604" s="2" t="s">
        <v>22</v>
      </c>
      <c r="C604" s="2" t="s">
        <v>16</v>
      </c>
      <c r="D604" s="2" t="n">
        <v>3680</v>
      </c>
      <c r="E604" s="2" t="n">
        <v>4898</v>
      </c>
      <c r="F604" s="2" t="n">
        <v>149</v>
      </c>
      <c r="G604" s="2" t="n">
        <v>15</v>
      </c>
      <c r="H604" s="2" t="n">
        <v>56</v>
      </c>
      <c r="I604" s="2" t="n">
        <v>17</v>
      </c>
      <c r="J604" s="2" t="n">
        <f aca="false">F604+G604+H604</f>
        <v>220</v>
      </c>
      <c r="K604" s="3" t="n">
        <f aca="false">J604/D604</f>
        <v>0.0597826086956522</v>
      </c>
    </row>
    <row r="605" customFormat="false" ht="15" hidden="false" customHeight="false" outlineLevel="0" collapsed="false">
      <c r="A605" s="2" t="s">
        <v>435</v>
      </c>
      <c r="B605" s="2" t="s">
        <v>15</v>
      </c>
      <c r="C605" s="2" t="s">
        <v>13</v>
      </c>
      <c r="D605" s="2" t="n">
        <v>3027</v>
      </c>
      <c r="E605" s="2" t="n">
        <v>4455</v>
      </c>
      <c r="F605" s="2" t="n">
        <v>188</v>
      </c>
      <c r="G605" s="2" t="n">
        <v>36</v>
      </c>
      <c r="H605" s="2" t="n">
        <v>35</v>
      </c>
      <c r="I605" s="2" t="n">
        <v>9</v>
      </c>
      <c r="J605" s="2" t="n">
        <f aca="false">F605+G605+H605</f>
        <v>259</v>
      </c>
      <c r="K605" s="3" t="n">
        <f aca="false">J605/D605</f>
        <v>0.0855632639577139</v>
      </c>
    </row>
    <row r="606" customFormat="false" ht="15" hidden="false" customHeight="false" outlineLevel="0" collapsed="false">
      <c r="A606" s="2" t="s">
        <v>435</v>
      </c>
      <c r="B606" s="2" t="s">
        <v>12</v>
      </c>
      <c r="C606" s="2" t="s">
        <v>23</v>
      </c>
      <c r="D606" s="2" t="n">
        <v>1675</v>
      </c>
      <c r="E606" s="2" t="n">
        <v>2668</v>
      </c>
      <c r="F606" s="2" t="n">
        <v>87</v>
      </c>
      <c r="G606" s="2" t="n">
        <v>14</v>
      </c>
      <c r="H606" s="2" t="n">
        <v>37</v>
      </c>
      <c r="I606" s="2" t="n">
        <v>4</v>
      </c>
      <c r="J606" s="2" t="n">
        <f aca="false">F606+G606+H606</f>
        <v>138</v>
      </c>
      <c r="K606" s="3" t="n">
        <f aca="false">J606/D606</f>
        <v>0.0823880597014925</v>
      </c>
    </row>
    <row r="607" customFormat="false" ht="15" hidden="false" customHeight="false" outlineLevel="0" collapsed="false">
      <c r="A607" s="2" t="s">
        <v>436</v>
      </c>
      <c r="B607" s="2" t="s">
        <v>19</v>
      </c>
      <c r="C607" s="2" t="s">
        <v>23</v>
      </c>
      <c r="D607" s="2" t="n">
        <v>3712</v>
      </c>
      <c r="E607" s="2" t="n">
        <v>4831</v>
      </c>
      <c r="F607" s="2" t="n">
        <v>63</v>
      </c>
      <c r="G607" s="2" t="n">
        <v>12</v>
      </c>
      <c r="H607" s="2" t="n">
        <v>26</v>
      </c>
      <c r="I607" s="2" t="n">
        <v>3</v>
      </c>
      <c r="J607" s="2" t="n">
        <f aca="false">F607+G607+H607</f>
        <v>101</v>
      </c>
      <c r="K607" s="3" t="n">
        <f aca="false">J607/D607</f>
        <v>0.0272090517241379</v>
      </c>
    </row>
    <row r="608" customFormat="false" ht="15" hidden="false" customHeight="false" outlineLevel="0" collapsed="false">
      <c r="A608" s="2" t="s">
        <v>436</v>
      </c>
      <c r="B608" s="2" t="s">
        <v>26</v>
      </c>
      <c r="C608" s="2" t="s">
        <v>20</v>
      </c>
      <c r="D608" s="2" t="n">
        <v>11246</v>
      </c>
      <c r="E608" s="2" t="n">
        <v>13349</v>
      </c>
      <c r="F608" s="2" t="n">
        <v>286</v>
      </c>
      <c r="G608" s="2" t="n">
        <v>56</v>
      </c>
      <c r="H608" s="2" t="n">
        <v>45</v>
      </c>
      <c r="I608" s="2" t="n">
        <v>13</v>
      </c>
      <c r="J608" s="2" t="n">
        <f aca="false">F608+G608+H608</f>
        <v>387</v>
      </c>
      <c r="K608" s="3" t="n">
        <f aca="false">J608/D608</f>
        <v>0.0344122354614974</v>
      </c>
    </row>
    <row r="609" customFormat="false" ht="15" hidden="false" customHeight="false" outlineLevel="0" collapsed="false">
      <c r="A609" s="2" t="s">
        <v>437</v>
      </c>
      <c r="B609" s="2" t="s">
        <v>19</v>
      </c>
      <c r="C609" s="2" t="s">
        <v>13</v>
      </c>
      <c r="D609" s="2" t="n">
        <v>2487</v>
      </c>
      <c r="E609" s="2" t="n">
        <v>2965</v>
      </c>
      <c r="F609" s="2" t="n">
        <v>141</v>
      </c>
      <c r="G609" s="2" t="n">
        <v>16</v>
      </c>
      <c r="H609" s="2" t="n">
        <v>57</v>
      </c>
      <c r="I609" s="2" t="n">
        <v>12</v>
      </c>
      <c r="J609" s="2" t="n">
        <f aca="false">F609+G609+H609</f>
        <v>214</v>
      </c>
      <c r="K609" s="3" t="n">
        <f aca="false">J609/D609</f>
        <v>0.0860474467229594</v>
      </c>
    </row>
    <row r="610" customFormat="false" ht="15" hidden="false" customHeight="false" outlineLevel="0" collapsed="false">
      <c r="A610" s="2" t="s">
        <v>438</v>
      </c>
      <c r="B610" s="2" t="s">
        <v>12</v>
      </c>
      <c r="C610" s="2" t="s">
        <v>13</v>
      </c>
      <c r="D610" s="2" t="n">
        <v>2205</v>
      </c>
      <c r="E610" s="2" t="n">
        <v>3498</v>
      </c>
      <c r="F610" s="2" t="n">
        <v>76</v>
      </c>
      <c r="G610" s="2" t="n">
        <v>14</v>
      </c>
      <c r="H610" s="2" t="n">
        <v>12</v>
      </c>
      <c r="I610" s="2" t="n">
        <v>3</v>
      </c>
      <c r="J610" s="2" t="n">
        <f aca="false">F610+G610+H610</f>
        <v>102</v>
      </c>
      <c r="K610" s="3" t="n">
        <f aca="false">J610/D610</f>
        <v>0.0462585034013605</v>
      </c>
    </row>
    <row r="611" customFormat="false" ht="15" hidden="false" customHeight="false" outlineLevel="0" collapsed="false">
      <c r="A611" s="2" t="s">
        <v>439</v>
      </c>
      <c r="B611" s="2" t="s">
        <v>26</v>
      </c>
      <c r="C611" s="2" t="s">
        <v>23</v>
      </c>
      <c r="D611" s="2" t="n">
        <v>11280</v>
      </c>
      <c r="E611" s="2" t="n">
        <v>15763</v>
      </c>
      <c r="F611" s="2" t="n">
        <v>540</v>
      </c>
      <c r="G611" s="2" t="n">
        <v>90</v>
      </c>
      <c r="H611" s="2" t="n">
        <v>237</v>
      </c>
      <c r="I611" s="2" t="n">
        <v>31</v>
      </c>
      <c r="J611" s="2" t="n">
        <f aca="false">F611+G611+H611</f>
        <v>867</v>
      </c>
      <c r="K611" s="3" t="n">
        <f aca="false">J611/D611</f>
        <v>0.0768617021276596</v>
      </c>
    </row>
    <row r="612" customFormat="false" ht="15" hidden="false" customHeight="false" outlineLevel="0" collapsed="false">
      <c r="A612" s="2" t="s">
        <v>439</v>
      </c>
      <c r="B612" s="2" t="s">
        <v>22</v>
      </c>
      <c r="C612" s="2" t="s">
        <v>18</v>
      </c>
      <c r="D612" s="2" t="n">
        <v>7017</v>
      </c>
      <c r="E612" s="2" t="n">
        <v>10551</v>
      </c>
      <c r="F612" s="2" t="n">
        <v>303</v>
      </c>
      <c r="G612" s="2" t="n">
        <v>44</v>
      </c>
      <c r="H612" s="2" t="n">
        <v>119</v>
      </c>
      <c r="I612" s="2" t="n">
        <v>15</v>
      </c>
      <c r="J612" s="2" t="n">
        <f aca="false">F612+G612+H612</f>
        <v>466</v>
      </c>
      <c r="K612" s="3" t="n">
        <f aca="false">J612/D612</f>
        <v>0.0664101467863759</v>
      </c>
    </row>
    <row r="613" customFormat="false" ht="15" hidden="false" customHeight="false" outlineLevel="0" collapsed="false">
      <c r="A613" s="2" t="s">
        <v>440</v>
      </c>
      <c r="B613" s="2" t="s">
        <v>15</v>
      </c>
      <c r="C613" s="2" t="s">
        <v>16</v>
      </c>
      <c r="D613" s="2" t="n">
        <v>9433</v>
      </c>
      <c r="E613" s="2" t="n">
        <v>12423</v>
      </c>
      <c r="F613" s="2" t="n">
        <v>166</v>
      </c>
      <c r="G613" s="2" t="n">
        <v>31</v>
      </c>
      <c r="H613" s="2" t="n">
        <v>59</v>
      </c>
      <c r="I613" s="2" t="n">
        <v>19</v>
      </c>
      <c r="J613" s="2" t="n">
        <f aca="false">F613+G613+H613</f>
        <v>256</v>
      </c>
      <c r="K613" s="3" t="n">
        <f aca="false">J613/D613</f>
        <v>0.0271387681543517</v>
      </c>
    </row>
    <row r="614" customFormat="false" ht="15" hidden="false" customHeight="false" outlineLevel="0" collapsed="false">
      <c r="A614" s="2" t="s">
        <v>440</v>
      </c>
      <c r="B614" s="2" t="s">
        <v>12</v>
      </c>
      <c r="C614" s="2" t="s">
        <v>20</v>
      </c>
      <c r="D614" s="2" t="n">
        <v>3418</v>
      </c>
      <c r="E614" s="2" t="n">
        <v>4616</v>
      </c>
      <c r="F614" s="2" t="n">
        <v>128</v>
      </c>
      <c r="G614" s="2" t="n">
        <v>15</v>
      </c>
      <c r="H614" s="2" t="n">
        <v>36</v>
      </c>
      <c r="I614" s="2" t="n">
        <v>5</v>
      </c>
      <c r="J614" s="2" t="n">
        <f aca="false">F614+G614+H614</f>
        <v>179</v>
      </c>
      <c r="K614" s="3" t="n">
        <f aca="false">J614/D614</f>
        <v>0.0523698069046226</v>
      </c>
    </row>
    <row r="615" customFormat="false" ht="15" hidden="false" customHeight="false" outlineLevel="0" collapsed="false">
      <c r="A615" s="2" t="s">
        <v>441</v>
      </c>
      <c r="B615" s="2" t="s">
        <v>26</v>
      </c>
      <c r="C615" s="2" t="s">
        <v>18</v>
      </c>
      <c r="D615" s="2" t="n">
        <v>6719</v>
      </c>
      <c r="E615" s="2" t="n">
        <v>8360</v>
      </c>
      <c r="F615" s="2" t="n">
        <v>163</v>
      </c>
      <c r="G615" s="2" t="n">
        <v>16</v>
      </c>
      <c r="H615" s="2" t="n">
        <v>54</v>
      </c>
      <c r="I615" s="2" t="n">
        <v>9</v>
      </c>
      <c r="J615" s="2" t="n">
        <f aca="false">F615+G615+H615</f>
        <v>233</v>
      </c>
      <c r="K615" s="3" t="n">
        <f aca="false">J615/D615</f>
        <v>0.034677779431463</v>
      </c>
    </row>
    <row r="616" customFormat="false" ht="15" hidden="false" customHeight="false" outlineLevel="0" collapsed="false">
      <c r="A616" s="2" t="s">
        <v>441</v>
      </c>
      <c r="B616" s="2" t="s">
        <v>12</v>
      </c>
      <c r="C616" s="2" t="s">
        <v>23</v>
      </c>
      <c r="D616" s="2" t="n">
        <v>2480</v>
      </c>
      <c r="E616" s="2" t="n">
        <v>3046</v>
      </c>
      <c r="F616" s="2" t="n">
        <v>137</v>
      </c>
      <c r="G616" s="2" t="n">
        <v>13</v>
      </c>
      <c r="H616" s="2" t="n">
        <v>68</v>
      </c>
      <c r="I616" s="2" t="n">
        <v>10</v>
      </c>
      <c r="J616" s="2" t="n">
        <f aca="false">F616+G616+H616</f>
        <v>218</v>
      </c>
      <c r="K616" s="3" t="n">
        <f aca="false">J616/D616</f>
        <v>0.0879032258064516</v>
      </c>
    </row>
    <row r="617" customFormat="false" ht="15" hidden="false" customHeight="false" outlineLevel="0" collapsed="false">
      <c r="A617" s="2" t="s">
        <v>442</v>
      </c>
      <c r="B617" s="2" t="s">
        <v>22</v>
      </c>
      <c r="C617" s="2" t="s">
        <v>13</v>
      </c>
      <c r="D617" s="2" t="n">
        <v>1987</v>
      </c>
      <c r="E617" s="2" t="n">
        <v>2655</v>
      </c>
      <c r="F617" s="2" t="n">
        <v>113</v>
      </c>
      <c r="G617" s="2" t="n">
        <v>17</v>
      </c>
      <c r="H617" s="2" t="n">
        <v>28</v>
      </c>
      <c r="I617" s="2" t="n">
        <v>5</v>
      </c>
      <c r="J617" s="2" t="n">
        <f aca="false">F617+G617+H617</f>
        <v>158</v>
      </c>
      <c r="K617" s="3" t="n">
        <f aca="false">J617/D617</f>
        <v>0.0795168595873176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17.35" hidden="false" customHeight="false" outlineLevel="0" collapsed="false">
      <c r="A1" s="4" t="s">
        <v>443</v>
      </c>
    </row>
    <row r="2" customFormat="false" ht="15" hidden="false" customHeight="false" outlineLevel="0" collapsed="false">
      <c r="A2" s="5" t="s">
        <v>444</v>
      </c>
    </row>
    <row r="4" customFormat="false" ht="15" hidden="false" customHeight="false" outlineLevel="0" collapsed="false">
      <c r="A4" s="6" t="s">
        <v>445</v>
      </c>
      <c r="E4" s="6" t="s">
        <v>446</v>
      </c>
      <c r="I4" s="6" t="s">
        <v>447</v>
      </c>
    </row>
    <row r="5" customFormat="false" ht="15" hidden="false" customHeight="false" outlineLevel="0" collapsed="false">
      <c r="A5" s="7" t="s">
        <v>448</v>
      </c>
      <c r="B5" s="7" t="s">
        <v>3</v>
      </c>
      <c r="C5" s="7" t="s">
        <v>9</v>
      </c>
      <c r="E5" s="7" t="s">
        <v>1</v>
      </c>
      <c r="F5" s="7" t="s">
        <v>3</v>
      </c>
      <c r="G5" s="7" t="s">
        <v>449</v>
      </c>
      <c r="I5" s="7" t="s">
        <v>450</v>
      </c>
      <c r="J5" s="7" t="s">
        <v>9</v>
      </c>
    </row>
    <row r="6" customFormat="false" ht="15" hidden="false" customHeight="false" outlineLevel="0" collapsed="false">
      <c r="A6" s="2" t="s">
        <v>451</v>
      </c>
      <c r="B6" s="8" t="n">
        <f aca="false">SUMPRODUCT((TEXT(Posts!$A$2:$A$617,"YYYY-MM")=A6)*Posts!$D$2:$D$617)</f>
        <v>95387</v>
      </c>
      <c r="C6" s="8" t="n">
        <f aca="false">SUMPRODUCT((TEXT(Posts!$A$2:$A$617,"YYYY-MM")=A6)*Posts!$J$2:$J$617)</f>
        <v>5469</v>
      </c>
      <c r="E6" s="2" t="s">
        <v>15</v>
      </c>
      <c r="F6" s="8" t="n">
        <f aca="false">SUMIFS(Posts!$D$2:$D$617,Posts!$B$2:$B$617,E6)</f>
        <v>1125902</v>
      </c>
      <c r="G6" s="3" t="n">
        <f aca="false">AVERAGEIFS(Posts!$K$2:$K$617,Posts!$B$2:$B$617,E6)</f>
        <v>0.0543769966974931</v>
      </c>
      <c r="I6" s="2" t="s">
        <v>13</v>
      </c>
      <c r="J6" s="8" t="n">
        <f aca="false">SUMIFS(Posts!$J$2:$J$617,Posts!$C$2:$C$617,I6)</f>
        <v>28928</v>
      </c>
    </row>
    <row r="7" customFormat="false" ht="15" hidden="false" customHeight="false" outlineLevel="0" collapsed="false">
      <c r="A7" s="2" t="s">
        <v>452</v>
      </c>
      <c r="B7" s="8" t="n">
        <f aca="false">SUMPRODUCT((TEXT(Posts!$A$2:$A$617,"YYYY-MM")=A7)*Posts!$D$2:$D$617)</f>
        <v>93017</v>
      </c>
      <c r="C7" s="8" t="n">
        <f aca="false">SUMPRODUCT((TEXT(Posts!$A$2:$A$617,"YYYY-MM")=A7)*Posts!$J$2:$J$617)</f>
        <v>5138</v>
      </c>
      <c r="E7" s="2" t="s">
        <v>22</v>
      </c>
      <c r="F7" s="8" t="n">
        <f aca="false">SUMIFS(Posts!$D$2:$D$617,Posts!$B$2:$B$617,E7)</f>
        <v>370408</v>
      </c>
      <c r="G7" s="3" t="n">
        <f aca="false">AVERAGEIFS(Posts!$K$2:$K$617,Posts!$B$2:$B$617,E7)</f>
        <v>0.0584526196206185</v>
      </c>
      <c r="I7" s="2" t="s">
        <v>18</v>
      </c>
      <c r="J7" s="8" t="n">
        <f aca="false">SUMIFS(Posts!$J$2:$J$617,Posts!$C$2:$C$617,I7)</f>
        <v>31993</v>
      </c>
    </row>
    <row r="8" customFormat="false" ht="15" hidden="false" customHeight="false" outlineLevel="0" collapsed="false">
      <c r="A8" s="2" t="s">
        <v>453</v>
      </c>
      <c r="B8" s="8" t="n">
        <f aca="false">SUMPRODUCT((TEXT(Posts!$A$2:$A$617,"YYYY-MM")=A8)*Posts!$D$2:$D$617)</f>
        <v>113075</v>
      </c>
      <c r="C8" s="8" t="n">
        <f aca="false">SUMPRODUCT((TEXT(Posts!$A$2:$A$617,"YYYY-MM")=A8)*Posts!$J$2:$J$617)</f>
        <v>6295</v>
      </c>
      <c r="E8" s="2" t="s">
        <v>19</v>
      </c>
      <c r="F8" s="8" t="n">
        <f aca="false">SUMIFS(Posts!$D$2:$D$617,Posts!$B$2:$B$617,E8)</f>
        <v>174805</v>
      </c>
      <c r="G8" s="3" t="n">
        <f aca="false">AVERAGEIFS(Posts!$K$2:$K$617,Posts!$B$2:$B$617,E8)</f>
        <v>0.0551238357769398</v>
      </c>
      <c r="I8" s="2" t="s">
        <v>20</v>
      </c>
      <c r="J8" s="8" t="n">
        <f aca="false">SUMIFS(Posts!$J$2:$J$617,Posts!$C$2:$C$617,I8)</f>
        <v>31401</v>
      </c>
    </row>
    <row r="9" customFormat="false" ht="15" hidden="false" customHeight="false" outlineLevel="0" collapsed="false">
      <c r="A9" s="2" t="s">
        <v>454</v>
      </c>
      <c r="B9" s="8" t="n">
        <f aca="false">SUMPRODUCT((TEXT(Posts!$A$2:$A$617,"YYYY-MM")=A9)*Posts!$D$2:$D$617)</f>
        <v>51323</v>
      </c>
      <c r="C9" s="8" t="n">
        <f aca="false">SUMPRODUCT((TEXT(Posts!$A$2:$A$617,"YYYY-MM")=A9)*Posts!$J$2:$J$617)</f>
        <v>2790</v>
      </c>
      <c r="E9" s="2" t="s">
        <v>12</v>
      </c>
      <c r="F9" s="8" t="n">
        <f aca="false">SUMIFS(Posts!$D$2:$D$617,Posts!$B$2:$B$617,E9)</f>
        <v>189893</v>
      </c>
      <c r="G9" s="3" t="n">
        <f aca="false">AVERAGEIFS(Posts!$K$2:$K$617,Posts!$B$2:$B$617,E9)</f>
        <v>0.0524509065297481</v>
      </c>
      <c r="I9" s="2" t="s">
        <v>23</v>
      </c>
      <c r="J9" s="8" t="n">
        <f aca="false">SUMIFS(Posts!$J$2:$J$617,Posts!$C$2:$C$617,I9)</f>
        <v>30920</v>
      </c>
    </row>
    <row r="10" customFormat="false" ht="15" hidden="false" customHeight="false" outlineLevel="0" collapsed="false">
      <c r="A10" s="2" t="s">
        <v>455</v>
      </c>
      <c r="B10" s="8" t="n">
        <f aca="false">SUMPRODUCT((TEXT(Posts!$A$2:$A$617,"YYYY-MM")=A10)*Posts!$D$2:$D$617)</f>
        <v>112456</v>
      </c>
      <c r="C10" s="8" t="n">
        <f aca="false">SUMPRODUCT((TEXT(Posts!$A$2:$A$617,"YYYY-MM")=A10)*Posts!$J$2:$J$617)</f>
        <v>5308</v>
      </c>
      <c r="E10" s="2" t="s">
        <v>26</v>
      </c>
      <c r="F10" s="8" t="n">
        <f aca="false">SUMIFS(Posts!$D$2:$D$617,Posts!$B$2:$B$617,E10)</f>
        <v>821793</v>
      </c>
      <c r="G10" s="3" t="n">
        <f aca="false">AVERAGEIFS(Posts!$K$2:$K$617,Posts!$B$2:$B$617,E10)</f>
        <v>0.0536111668087412</v>
      </c>
      <c r="I10" s="2" t="s">
        <v>16</v>
      </c>
      <c r="J10" s="8" t="n">
        <f aca="false">SUMIFS(Posts!$J$2:$J$617,Posts!$C$2:$C$617,I10)</f>
        <v>24592</v>
      </c>
    </row>
    <row r="11" customFormat="false" ht="15" hidden="false" customHeight="false" outlineLevel="0" collapsed="false">
      <c r="A11" s="2" t="s">
        <v>456</v>
      </c>
      <c r="B11" s="8" t="n">
        <f aca="false">SUMPRODUCT((TEXT(Posts!$A$2:$A$617,"YYYY-MM")=A11)*Posts!$D$2:$D$617)</f>
        <v>49759</v>
      </c>
      <c r="C11" s="8" t="n">
        <f aca="false">SUMPRODUCT((TEXT(Posts!$A$2:$A$617,"YYYY-MM")=A11)*Posts!$J$2:$J$617)</f>
        <v>3062</v>
      </c>
    </row>
    <row r="12" customFormat="false" ht="15" hidden="false" customHeight="false" outlineLevel="0" collapsed="false">
      <c r="A12" s="2" t="s">
        <v>457</v>
      </c>
      <c r="B12" s="8" t="n">
        <f aca="false">SUMPRODUCT((TEXT(Posts!$A$2:$A$617,"YYYY-MM")=A12)*Posts!$D$2:$D$617)</f>
        <v>102409</v>
      </c>
      <c r="C12" s="8" t="n">
        <f aca="false">SUMPRODUCT((TEXT(Posts!$A$2:$A$617,"YYYY-MM")=A12)*Posts!$J$2:$J$617)</f>
        <v>5219</v>
      </c>
    </row>
    <row r="13" customFormat="false" ht="15" hidden="false" customHeight="false" outlineLevel="0" collapsed="false">
      <c r="A13" s="2" t="s">
        <v>458</v>
      </c>
      <c r="B13" s="8" t="n">
        <f aca="false">SUMPRODUCT((TEXT(Posts!$A$2:$A$617,"YYYY-MM")=A13)*Posts!$D$2:$D$617)</f>
        <v>132213</v>
      </c>
      <c r="C13" s="8" t="n">
        <f aca="false">SUMPRODUCT((TEXT(Posts!$A$2:$A$617,"YYYY-MM")=A13)*Posts!$J$2:$J$617)</f>
        <v>6362</v>
      </c>
    </row>
    <row r="14" customFormat="false" ht="15" hidden="false" customHeight="false" outlineLevel="0" collapsed="false">
      <c r="A14" s="2" t="s">
        <v>459</v>
      </c>
      <c r="B14" s="8" t="n">
        <f aca="false">SUMPRODUCT((TEXT(Posts!$A$2:$A$617,"YYYY-MM")=A14)*Posts!$D$2:$D$617)</f>
        <v>88558</v>
      </c>
      <c r="C14" s="8" t="n">
        <f aca="false">SUMPRODUCT((TEXT(Posts!$A$2:$A$617,"YYYY-MM")=A14)*Posts!$J$2:$J$617)</f>
        <v>5491</v>
      </c>
    </row>
    <row r="15" customFormat="false" ht="15" hidden="false" customHeight="false" outlineLevel="0" collapsed="false">
      <c r="A15" s="2" t="s">
        <v>460</v>
      </c>
      <c r="B15" s="8" t="n">
        <f aca="false">SUMPRODUCT((TEXT(Posts!$A$2:$A$617,"YYYY-MM")=A15)*Posts!$D$2:$D$617)</f>
        <v>92809</v>
      </c>
      <c r="C15" s="8" t="n">
        <f aca="false">SUMPRODUCT((TEXT(Posts!$A$2:$A$617,"YYYY-MM")=A15)*Posts!$J$2:$J$617)</f>
        <v>4600</v>
      </c>
    </row>
    <row r="16" customFormat="false" ht="15" hidden="false" customHeight="false" outlineLevel="0" collapsed="false">
      <c r="A16" s="2" t="s">
        <v>461</v>
      </c>
      <c r="B16" s="8" t="n">
        <f aca="false">SUMPRODUCT((TEXT(Posts!$A$2:$A$617,"YYYY-MM")=A16)*Posts!$D$2:$D$617)</f>
        <v>92760</v>
      </c>
      <c r="C16" s="8" t="n">
        <f aca="false">SUMPRODUCT((TEXT(Posts!$A$2:$A$617,"YYYY-MM")=A16)*Posts!$J$2:$J$617)</f>
        <v>5208</v>
      </c>
    </row>
    <row r="17" customFormat="false" ht="15" hidden="false" customHeight="false" outlineLevel="0" collapsed="false">
      <c r="A17" s="2" t="s">
        <v>462</v>
      </c>
      <c r="B17" s="8" t="n">
        <f aca="false">SUMPRODUCT((TEXT(Posts!$A$2:$A$617,"YYYY-MM")=A17)*Posts!$D$2:$D$617)</f>
        <v>92390</v>
      </c>
      <c r="C17" s="8" t="n">
        <f aca="false">SUMPRODUCT((TEXT(Posts!$A$2:$A$617,"YYYY-MM")=A17)*Posts!$J$2:$J$617)</f>
        <v>5141</v>
      </c>
    </row>
    <row r="18" customFormat="false" ht="15" hidden="false" customHeight="false" outlineLevel="0" collapsed="false">
      <c r="A18" s="2" t="s">
        <v>463</v>
      </c>
      <c r="B18" s="8" t="n">
        <f aca="false">SUMPRODUCT((TEXT(Posts!$A$2:$A$617,"YYYY-MM")=A18)*Posts!$D$2:$D$617)</f>
        <v>126147</v>
      </c>
      <c r="C18" s="8" t="n">
        <f aca="false">SUMPRODUCT((TEXT(Posts!$A$2:$A$617,"YYYY-MM")=A18)*Posts!$J$2:$J$617)</f>
        <v>7502</v>
      </c>
    </row>
    <row r="19" customFormat="false" ht="15" hidden="false" customHeight="false" outlineLevel="0" collapsed="false">
      <c r="A19" s="2" t="s">
        <v>464</v>
      </c>
      <c r="B19" s="8" t="n">
        <f aca="false">SUMPRODUCT((TEXT(Posts!$A$2:$A$617,"YYYY-MM")=A19)*Posts!$D$2:$D$617)</f>
        <v>115114</v>
      </c>
      <c r="C19" s="8" t="n">
        <f aca="false">SUMPRODUCT((TEXT(Posts!$A$2:$A$617,"YYYY-MM")=A19)*Posts!$J$2:$J$617)</f>
        <v>5876</v>
      </c>
    </row>
    <row r="20" customFormat="false" ht="15" hidden="false" customHeight="false" outlineLevel="0" collapsed="false">
      <c r="A20" s="2" t="s">
        <v>465</v>
      </c>
      <c r="B20" s="8" t="n">
        <f aca="false">SUMPRODUCT((TEXT(Posts!$A$2:$A$617,"YYYY-MM")=A20)*Posts!$D$2:$D$617)</f>
        <v>123463</v>
      </c>
      <c r="C20" s="8" t="n">
        <f aca="false">SUMPRODUCT((TEXT(Posts!$A$2:$A$617,"YYYY-MM")=A20)*Posts!$J$2:$J$617)</f>
        <v>7144</v>
      </c>
    </row>
    <row r="21" customFormat="false" ht="15" hidden="false" customHeight="false" outlineLevel="0" collapsed="false">
      <c r="A21" s="2" t="s">
        <v>466</v>
      </c>
      <c r="B21" s="8" t="n">
        <f aca="false">SUMPRODUCT((TEXT(Posts!$A$2:$A$617,"YYYY-MM")=A21)*Posts!$D$2:$D$617)</f>
        <v>112318</v>
      </c>
      <c r="C21" s="8" t="n">
        <f aca="false">SUMPRODUCT((TEXT(Posts!$A$2:$A$617,"YYYY-MM")=A21)*Posts!$J$2:$J$617)</f>
        <v>5189</v>
      </c>
    </row>
    <row r="22" customFormat="false" ht="15" hidden="false" customHeight="false" outlineLevel="0" collapsed="false">
      <c r="A22" s="2" t="s">
        <v>467</v>
      </c>
      <c r="B22" s="8" t="n">
        <f aca="false">SUMPRODUCT((TEXT(Posts!$A$2:$A$617,"YYYY-MM")=A22)*Posts!$D$2:$D$617)</f>
        <v>185598</v>
      </c>
      <c r="C22" s="8" t="n">
        <f aca="false">SUMPRODUCT((TEXT(Posts!$A$2:$A$617,"YYYY-MM")=A22)*Posts!$J$2:$J$617)</f>
        <v>9267</v>
      </c>
    </row>
    <row r="23" customFormat="false" ht="15" hidden="false" customHeight="false" outlineLevel="0" collapsed="false">
      <c r="A23" s="2" t="s">
        <v>468</v>
      </c>
      <c r="B23" s="8" t="n">
        <f aca="false">SUMPRODUCT((TEXT(Posts!$A$2:$A$617,"YYYY-MM")=A23)*Posts!$D$2:$D$617)</f>
        <v>182469</v>
      </c>
      <c r="C23" s="8" t="n">
        <f aca="false">SUMPRODUCT((TEXT(Posts!$A$2:$A$617,"YYYY-MM")=A23)*Posts!$J$2:$J$617)</f>
        <v>10660</v>
      </c>
    </row>
    <row r="24" customFormat="false" ht="15" hidden="false" customHeight="false" outlineLevel="0" collapsed="false">
      <c r="A24" s="2" t="s">
        <v>469</v>
      </c>
      <c r="B24" s="8" t="n">
        <f aca="false">SUMPRODUCT((TEXT(Posts!$A$2:$A$617,"YYYY-MM")=A24)*Posts!$D$2:$D$617)</f>
        <v>104117</v>
      </c>
      <c r="C24" s="8" t="n">
        <f aca="false">SUMPRODUCT((TEXT(Posts!$A$2:$A$617,"YYYY-MM")=A24)*Posts!$J$2:$J$617)</f>
        <v>6193</v>
      </c>
    </row>
    <row r="25" customFormat="false" ht="15" hidden="false" customHeight="false" outlineLevel="0" collapsed="false">
      <c r="A25" s="2" t="s">
        <v>470</v>
      </c>
      <c r="B25" s="8" t="n">
        <f aca="false">SUMPRODUCT((TEXT(Posts!$A$2:$A$617,"YYYY-MM")=A25)*Posts!$D$2:$D$617)</f>
        <v>89958</v>
      </c>
      <c r="C25" s="8" t="n">
        <f aca="false">SUMPRODUCT((TEXT(Posts!$A$2:$A$617,"YYYY-MM")=A25)*Posts!$J$2:$J$617)</f>
        <v>5184</v>
      </c>
    </row>
    <row r="26" customFormat="false" ht="15" hidden="false" customHeight="false" outlineLevel="0" collapsed="false">
      <c r="A26" s="2" t="s">
        <v>471</v>
      </c>
      <c r="B26" s="8" t="n">
        <f aca="false">SUMPRODUCT((TEXT(Posts!$A$2:$A$617,"YYYY-MM")=A26)*Posts!$D$2:$D$617)</f>
        <v>154425</v>
      </c>
      <c r="C26" s="8" t="n">
        <f aca="false">SUMPRODUCT((TEXT(Posts!$A$2:$A$617,"YYYY-MM")=A26)*Posts!$J$2:$J$617)</f>
        <v>9129</v>
      </c>
    </row>
    <row r="27" customFormat="false" ht="15" hidden="false" customHeight="false" outlineLevel="0" collapsed="false">
      <c r="A27" s="2" t="s">
        <v>472</v>
      </c>
      <c r="B27" s="8" t="n">
        <f aca="false">SUMPRODUCT((TEXT(Posts!$A$2:$A$617,"YYYY-MM")=A27)*Posts!$D$2:$D$617)</f>
        <v>88600</v>
      </c>
      <c r="C27" s="8" t="n">
        <f aca="false">SUMPRODUCT((TEXT(Posts!$A$2:$A$617,"YYYY-MM")=A27)*Posts!$J$2:$J$617)</f>
        <v>5111</v>
      </c>
    </row>
    <row r="28" customFormat="false" ht="15" hidden="false" customHeight="false" outlineLevel="0" collapsed="false">
      <c r="A28" s="2" t="s">
        <v>473</v>
      </c>
      <c r="B28" s="8" t="n">
        <f aca="false">SUMPRODUCT((TEXT(Posts!$A$2:$A$617,"YYYY-MM")=A28)*Posts!$D$2:$D$617)</f>
        <v>136036</v>
      </c>
      <c r="C28" s="8" t="n">
        <f aca="false">SUMPRODUCT((TEXT(Posts!$A$2:$A$617,"YYYY-MM")=A28)*Posts!$J$2:$J$617)</f>
        <v>7759</v>
      </c>
    </row>
    <row r="29" customFormat="false" ht="15" hidden="false" customHeight="false" outlineLevel="0" collapsed="false">
      <c r="A29" s="2" t="s">
        <v>474</v>
      </c>
      <c r="B29" s="8" t="n">
        <f aca="false">SUMPRODUCT((TEXT(Posts!$A$2:$A$617,"YYYY-MM")=A29)*Posts!$D$2:$D$617)</f>
        <v>148400</v>
      </c>
      <c r="C29" s="8" t="n">
        <f aca="false">SUMPRODUCT((TEXT(Posts!$A$2:$A$617,"YYYY-MM")=A29)*Posts!$J$2:$J$617)</f>
        <v>8737</v>
      </c>
    </row>
    <row r="31" customFormat="false" ht="15" hidden="false" customHeight="false" outlineLevel="0" collapsed="false">
      <c r="A31" s="6" t="s">
        <v>475</v>
      </c>
      <c r="B31" s="9" t="n">
        <f aca="false">SUM(B6:B29)</f>
        <v>2682801</v>
      </c>
    </row>
    <row r="32" customFormat="false" ht="15" hidden="false" customHeight="false" outlineLevel="0" collapsed="false">
      <c r="A32" s="6" t="s">
        <v>476</v>
      </c>
      <c r="B32" s="9" t="n">
        <f aca="false">SUM(C6:C29)</f>
        <v>147834</v>
      </c>
    </row>
    <row r="33" customFormat="false" ht="15" hidden="false" customHeight="false" outlineLevel="0" collapsed="false">
      <c r="A33" s="6" t="s">
        <v>477</v>
      </c>
      <c r="B33" s="10" t="n">
        <f aca="false">B32/B31</f>
        <v>0.0551043480302863</v>
      </c>
    </row>
    <row r="34" customFormat="false" ht="15" hidden="false" customHeight="false" outlineLevel="0" collapsed="false">
      <c r="A34" s="6" t="s">
        <v>478</v>
      </c>
      <c r="B34" s="9" t="n">
        <f aca="false">SUM(Posts!I2:I617)</f>
        <v>7180</v>
      </c>
    </row>
    <row r="35" customFormat="false" ht="15" hidden="false" customHeight="false" outlineLevel="0" collapsed="false">
      <c r="A35" s="6" t="s">
        <v>479</v>
      </c>
      <c r="B35" s="11" t="str">
        <f aca="false">INDEX(E6:E10,MATCH(MAX(F6:F10),F6:F10,0))</f>
        <v>Instagram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2026-07-26T14:25:53Z</dcterms:created>
  <dc:creator>openpyxl</dc:creator>
  <dc:description/>
  <dc:language>en-US</dc:language>
  <cp:lastModifiedBy/>
  <dcterms:modified xsi:type="dcterms:W3CDTF">2026-07-26T14:25:56Z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